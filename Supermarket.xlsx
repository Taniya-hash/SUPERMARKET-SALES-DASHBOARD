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HP\Desktop\Super market dashboard\"/>
    </mc:Choice>
  </mc:AlternateContent>
  <xr:revisionPtr revIDLastSave="0" documentId="13_ncr:1_{F139217D-107E-4F6D-84AE-C5B0022187FE}" xr6:coauthVersionLast="47" xr6:coauthVersionMax="47" xr10:uidLastSave="{00000000-0000-0000-0000-000000000000}"/>
  <bookViews>
    <workbookView xWindow="-108" yWindow="-108" windowWidth="23256" windowHeight="12456" activeTab="3" xr2:uid="{0B50F45A-0469-41BC-8531-8B4B3C2C2BF9}"/>
  </bookViews>
  <sheets>
    <sheet name="Sheet2" sheetId="3" r:id="rId1"/>
    <sheet name="Sheet3" sheetId="4" r:id="rId2"/>
    <sheet name="Sheet4" sheetId="5" r:id="rId3"/>
    <sheet name="Sheet10" sheetId="11" r:id="rId4"/>
    <sheet name="Sheet5" sheetId="6" r:id="rId5"/>
    <sheet name="Sheet7" sheetId="8" r:id="rId6"/>
    <sheet name="Sheet8" sheetId="9" r:id="rId7"/>
    <sheet name="Sheet9" sheetId="10" r:id="rId8"/>
    <sheet name="Sheet12" sheetId="13" r:id="rId9"/>
    <sheet name="Sheet15" sheetId="16" r:id="rId10"/>
    <sheet name="Sheet16" sheetId="17" r:id="rId11"/>
    <sheet name="Sheet17" sheetId="18" r:id="rId12"/>
    <sheet name="Copy of supermarket_sales - She" sheetId="2" r:id="rId13"/>
    <sheet name="Sheet1" sheetId="1" r:id="rId14"/>
  </sheets>
  <definedNames>
    <definedName name="ExternalData_1" localSheetId="12" hidden="1">'Copy of supermarket_sales - She'!$A$1:$Q$1001</definedName>
    <definedName name="Slicer_City">#N/A</definedName>
    <definedName name="Slicer_Customer_type1">#N/A</definedName>
    <definedName name="Slicer_Payment">#N/A</definedName>
    <definedName name="Slicer_Payment1">#N/A</definedName>
    <definedName name="Slicer_Product_lin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9" l="1"/>
  <c r="B9" i="3"/>
  <c r="B12" i="18"/>
  <c r="B12" i="17"/>
  <c r="C9" i="4"/>
  <c r="C13" i="10"/>
  <c r="B10" i="9"/>
  <c r="C15" i="5"/>
  <c r="B15" i="5"/>
  <c r="C12" i="8"/>
  <c r="E14" i="5"/>
  <c r="C12" i="5"/>
  <c r="E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0274AD-8B17-4C15-A8AB-2CC877EBBF39}" keepAlive="1" name="Query - Copy of supermarket_sales - Sheet1 (1)" description="Connection to the 'Copy of supermarket_sales - Sheet1 (1)' query in the workbook." type="5" refreshedVersion="8" background="1" saveData="1">
    <dbPr connection="Provider=Microsoft.Mashup.OleDb.1;Data Source=$Workbook$;Location=&quot;Copy of supermarket_sales - Sheet1 (1)&quot;;Extended Properties=&quot;&quot;" command="SELECT * FROM [Copy of supermarket_sales - Sheet1 (1)]"/>
  </connection>
</connections>
</file>

<file path=xl/sharedStrings.xml><?xml version="1.0" encoding="utf-8"?>
<sst xmlns="http://schemas.openxmlformats.org/spreadsheetml/2006/main" count="7107" uniqueCount="1056">
  <si>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</si>
  <si>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</si>
  <si>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</si>
  <si>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</si>
  <si>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</si>
  <si>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</si>
  <si>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</si>
  <si>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</si>
  <si>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</si>
  <si>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</si>
  <si>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</si>
  <si>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</si>
  <si>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</si>
  <si>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</si>
  <si>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</si>
  <si>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</si>
  <si>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</si>
  <si>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</si>
  <si>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</si>
  <si>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</si>
  <si>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</si>
  <si>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</si>
  <si>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</si>
  <si>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</si>
  <si>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</si>
  <si>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</si>
  <si>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</si>
  <si>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</si>
  <si>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</si>
  <si>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</si>
  <si>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</si>
  <si>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</si>
  <si>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</si>
  <si>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</si>
  <si>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</si>
  <si>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</si>
  <si>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</si>
  <si>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</si>
  <si>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</si>
  <si>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</si>
  <si>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</si>
  <si>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</si>
  <si>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</si>
  <si>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</si>
  <si>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</si>
  <si>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</si>
  <si>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</si>
  <si>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</si>
  <si>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</si>
  <si>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</si>
  <si>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</si>
  <si>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</si>
  <si>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</si>
  <si>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</si>
  <si>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</si>
  <si>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</si>
  <si>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</si>
  <si>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</si>
  <si>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</si>
  <si>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</si>
  <si>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</si>
  <si>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</si>
  <si>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</si>
  <si>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</si>
  <si>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</si>
  <si>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</si>
  <si>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</si>
  <si>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</si>
  <si>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</si>
  <si>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</si>
  <si>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</si>
  <si>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</si>
  <si>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</si>
  <si>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</si>
  <si>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</si>
  <si>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</si>
  <si>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</si>
  <si>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</si>
  <si>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</si>
  <si>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</si>
  <si>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</si>
  <si>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</si>
  <si>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</si>
  <si>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</si>
  <si>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</si>
  <si>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</si>
  <si>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</si>
  <si>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</si>
  <si>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</si>
  <si>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</si>
  <si>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</si>
  <si>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</si>
  <si>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</si>
  <si>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</si>
  <si>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</si>
  <si>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</si>
  <si>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</si>
  <si>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</si>
  <si>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</si>
  <si>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</si>
  <si>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</si>
  <si>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</si>
  <si>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</si>
  <si>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</si>
  <si>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</si>
  <si>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</si>
  <si>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</si>
  <si>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</si>
  <si>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</si>
  <si>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</si>
  <si>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</si>
  <si>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</si>
  <si>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</si>
  <si>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</si>
  <si>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</si>
  <si>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</si>
  <si>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</si>
  <si>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</si>
  <si>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</si>
  <si>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</si>
  <si>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</si>
  <si>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</si>
  <si>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</si>
  <si>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</si>
  <si>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</si>
  <si>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</si>
  <si>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</si>
  <si>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</si>
  <si>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</si>
  <si>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</si>
  <si>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</si>
  <si>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</si>
  <si>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</si>
  <si>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</si>
  <si>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</si>
  <si>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</si>
  <si>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</si>
  <si>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</si>
  <si>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</si>
  <si>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</si>
  <si>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</si>
  <si>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</si>
  <si>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</si>
  <si>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</si>
  <si>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</si>
  <si>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</si>
  <si>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</si>
  <si>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</si>
  <si>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</si>
  <si>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</si>
  <si>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</si>
  <si>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</si>
  <si>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</si>
  <si>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</si>
  <si>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</si>
  <si>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</si>
  <si>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</si>
  <si>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</si>
  <si>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</si>
  <si>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</si>
  <si>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</si>
  <si>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</si>
  <si>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</si>
  <si>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</si>
  <si>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</si>
  <si>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</si>
  <si>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</si>
  <si>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</si>
  <si>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</si>
  <si>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</si>
  <si>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</si>
  <si>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</si>
  <si>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</si>
  <si>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</si>
  <si>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</si>
  <si>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</si>
  <si>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</si>
  <si>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</si>
  <si>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</si>
  <si>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</si>
  <si>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</si>
  <si>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</si>
  <si>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</si>
  <si>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</si>
  <si>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</si>
  <si>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</si>
  <si>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</si>
  <si>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</si>
  <si>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</si>
  <si>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</si>
  <si>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</si>
  <si>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</si>
  <si>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</si>
  <si>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</si>
  <si>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</si>
  <si>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</si>
  <si>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</si>
  <si>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</si>
  <si>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</si>
  <si>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</si>
  <si>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</si>
  <si>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</si>
  <si>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</si>
  <si>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</si>
  <si>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</si>
  <si>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</si>
  <si>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</si>
  <si>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</si>
  <si>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</si>
  <si>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</si>
  <si>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</si>
  <si>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</si>
  <si>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</si>
  <si>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</si>
  <si>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</si>
  <si>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</si>
  <si>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</si>
  <si>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</si>
  <si>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</si>
  <si>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</si>
  <si>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</si>
  <si>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</si>
  <si>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</si>
  <si>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</si>
  <si>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</si>
  <si>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</si>
  <si>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</si>
  <si>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</si>
  <si>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</si>
  <si>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</si>
  <si>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</si>
  <si>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</si>
  <si>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</si>
  <si>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</si>
  <si>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</si>
  <si>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</si>
  <si>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</si>
  <si>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</si>
  <si>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</si>
  <si>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</si>
  <si>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</si>
  <si>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</si>
  <si>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</si>
  <si>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</si>
  <si>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</si>
  <si>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</si>
  <si>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</si>
  <si>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</si>
  <si>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</si>
  <si>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</si>
  <si>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</si>
  <si>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</si>
  <si>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</si>
  <si>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</si>
  <si>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</si>
  <si>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</si>
  <si>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</si>
  <si>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</si>
  <si>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</si>
  <si>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</si>
  <si>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</si>
  <si>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</si>
  <si>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</si>
  <si>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</si>
  <si>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</si>
  <si>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</si>
  <si>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</si>
  <si>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</si>
  <si>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</si>
  <si>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</si>
  <si>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</si>
  <si>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</si>
  <si>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</si>
  <si>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</si>
  <si>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</si>
  <si>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</si>
  <si>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</si>
  <si>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</si>
  <si>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</si>
  <si>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</si>
  <si>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</si>
  <si>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</si>
  <si>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</si>
  <si>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</si>
  <si>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</si>
  <si>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</si>
  <si>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</si>
  <si>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</si>
  <si>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</si>
  <si>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</si>
  <si>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</si>
  <si>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</si>
  <si>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</si>
  <si>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</si>
  <si>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</si>
  <si>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</si>
  <si>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</si>
  <si>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</si>
  <si>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</si>
  <si>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</si>
  <si>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</si>
  <si>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</si>
  <si>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</si>
  <si>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</si>
  <si>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</si>
  <si>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</si>
  <si>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</si>
  <si>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</si>
  <si>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</si>
  <si>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</si>
  <si>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</si>
  <si>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</si>
  <si>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</si>
  <si>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</si>
  <si>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</si>
  <si>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</si>
  <si>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</si>
  <si>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</si>
  <si>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</si>
  <si>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</si>
  <si>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</si>
  <si>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</si>
  <si>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</si>
  <si>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</si>
  <si>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</si>
  <si>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</si>
  <si>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</si>
  <si>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</si>
  <si>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</si>
  <si>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</si>
  <si>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</si>
  <si>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</si>
  <si>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</si>
  <si>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</si>
  <si>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</si>
  <si>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</si>
  <si>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</si>
  <si>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</si>
  <si>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</si>
  <si>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</si>
  <si>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</si>
  <si>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</si>
  <si>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</si>
  <si>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</si>
  <si>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</si>
  <si>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</si>
  <si>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</si>
  <si>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</si>
  <si>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</si>
  <si>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</si>
  <si>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</si>
  <si>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</si>
  <si>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</si>
  <si>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</si>
  <si>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</si>
  <si>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</si>
  <si>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</si>
  <si>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</si>
  <si>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</si>
  <si>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</si>
  <si>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</si>
  <si>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</si>
  <si>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</si>
  <si>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</si>
  <si>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</si>
  <si>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</si>
  <si>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</si>
  <si>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</si>
  <si>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</si>
  <si>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</si>
  <si>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</si>
  <si>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</si>
  <si>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</si>
  <si>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</si>
  <si>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</si>
  <si>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</si>
  <si>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</si>
  <si>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</si>
  <si>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</si>
  <si>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</si>
  <si>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</si>
  <si>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</si>
  <si>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</si>
  <si>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</si>
  <si>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</si>
  <si>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</si>
  <si>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</si>
  <si>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</si>
  <si>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</si>
  <si>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</si>
  <si>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</si>
  <si>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</si>
  <si>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</si>
  <si>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</si>
  <si>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</si>
  <si>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</si>
  <si>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</si>
  <si>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</si>
  <si>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</si>
  <si>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</si>
  <si>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</si>
  <si>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</si>
  <si>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</si>
  <si>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</si>
  <si>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</si>
  <si>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</si>
  <si>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</si>
  <si>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</si>
  <si>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</si>
  <si>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</si>
  <si>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</si>
  <si>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</si>
  <si>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</si>
  <si>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</si>
  <si>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</si>
  <si>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</si>
  <si>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</si>
  <si>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</si>
  <si>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</si>
  <si>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</si>
  <si>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</si>
  <si>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</si>
  <si>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</si>
  <si>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</si>
  <si>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</si>
  <si>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</si>
  <si>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</si>
  <si>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</si>
  <si>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</si>
  <si>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</si>
  <si>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</si>
  <si>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</si>
  <si>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</si>
  <si>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</si>
  <si>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</si>
  <si>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</si>
  <si>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</si>
  <si>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</si>
  <si>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</si>
  <si>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</si>
  <si>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</si>
  <si>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</si>
  <si>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</si>
  <si>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</si>
  <si>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</si>
  <si>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</si>
  <si>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</si>
  <si>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</si>
  <si>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</si>
  <si>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</si>
  <si>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</si>
  <si>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</si>
  <si>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</si>
  <si>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</si>
  <si>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</si>
  <si>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</si>
  <si>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</si>
  <si>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</si>
  <si>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</si>
  <si>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</si>
  <si>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</si>
  <si>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</si>
  <si>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</si>
  <si>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</si>
  <si>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</si>
  <si>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</si>
  <si>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</si>
  <si>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</si>
  <si>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</si>
  <si>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</si>
  <si>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</si>
  <si>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</si>
  <si>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</si>
  <si>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</si>
  <si>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</si>
  <si>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</si>
  <si>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</si>
  <si>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</si>
  <si>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</si>
  <si>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</si>
  <si>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</si>
  <si>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</si>
  <si>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</si>
  <si>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</si>
  <si>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</si>
  <si>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</si>
  <si>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</si>
  <si>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</si>
  <si>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</si>
  <si>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</si>
  <si>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</si>
  <si>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</si>
  <si>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</si>
  <si>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</si>
  <si>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</si>
  <si>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</si>
  <si>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</si>
  <si>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</si>
  <si>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</si>
  <si>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</si>
  <si>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</si>
  <si>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</si>
  <si>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</si>
  <si>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</si>
  <si>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</si>
  <si>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</si>
  <si>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</si>
  <si>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</si>
  <si>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</si>
  <si>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</si>
  <si>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</si>
  <si>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</si>
  <si>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</si>
  <si>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</si>
  <si>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</si>
  <si>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</si>
  <si>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</si>
  <si>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</si>
  <si>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</si>
  <si>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</si>
  <si>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</si>
  <si>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</si>
  <si>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</si>
  <si>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</si>
  <si>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</si>
  <si>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</si>
  <si>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</si>
  <si>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</si>
  <si>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</si>
  <si>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</si>
  <si>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</si>
  <si>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</si>
  <si>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</si>
  <si>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</si>
  <si>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</si>
  <si>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</si>
  <si>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</si>
  <si>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</si>
  <si>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</si>
  <si>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</si>
  <si>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</si>
  <si>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</si>
  <si>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</si>
  <si>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</si>
  <si>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</si>
  <si>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</si>
  <si>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</si>
  <si>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</si>
  <si>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</si>
  <si>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</si>
  <si>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</si>
  <si>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</si>
  <si>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</si>
  <si>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</si>
  <si>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</si>
  <si>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</si>
  <si>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</si>
  <si>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</si>
  <si>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</si>
  <si>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</si>
  <si>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</si>
  <si>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</si>
  <si>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</si>
  <si>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</si>
  <si>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</si>
  <si>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</si>
  <si>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</si>
  <si>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</si>
  <si>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</si>
  <si>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</si>
  <si>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</si>
  <si>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</si>
  <si>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</si>
  <si>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</si>
  <si>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</si>
  <si>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</si>
  <si>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</si>
  <si>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</si>
  <si>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</si>
  <si>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</si>
  <si>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</si>
  <si>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</si>
  <si>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</si>
  <si>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</si>
  <si>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</si>
  <si>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</si>
  <si>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</si>
  <si>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</si>
  <si>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</si>
  <si>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</si>
  <si>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</si>
  <si>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</si>
  <si>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</si>
  <si>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</si>
  <si>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</si>
  <si>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</si>
  <si>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</si>
  <si>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</si>
  <si>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</si>
  <si>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</si>
  <si>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</si>
  <si>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</si>
  <si>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</si>
  <si>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</si>
  <si>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</si>
  <si>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</si>
  <si>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</si>
  <si>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</si>
  <si>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</si>
  <si>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</si>
  <si>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</si>
  <si>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</si>
  <si>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</si>
  <si>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</si>
  <si>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</si>
  <si>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</si>
  <si>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</si>
  <si>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</si>
  <si>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</si>
  <si>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</si>
  <si>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</si>
  <si>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</si>
  <si>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</si>
  <si>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</si>
  <si>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</si>
  <si>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</si>
  <si>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</si>
  <si>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</si>
  <si>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</si>
  <si>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</si>
  <si>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</si>
  <si>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</si>
  <si>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</si>
  <si>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</si>
  <si>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</si>
  <si>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</si>
  <si>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</si>
  <si>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</si>
  <si>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</si>
  <si>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</si>
  <si>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</si>
  <si>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</si>
  <si>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</si>
  <si>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</si>
  <si>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</si>
  <si>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</si>
  <si>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</si>
  <si>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</si>
  <si>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</si>
  <si>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</si>
  <si>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</si>
  <si>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</si>
  <si>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</si>
  <si>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</si>
  <si>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</si>
  <si>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</si>
  <si>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</si>
  <si>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</si>
  <si>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</si>
  <si>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</si>
  <si>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</si>
  <si>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</si>
  <si>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</si>
  <si>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</si>
  <si>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</si>
  <si>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</si>
  <si>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</si>
  <si>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</si>
  <si>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</si>
  <si>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</si>
  <si>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</si>
  <si>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</si>
  <si>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</si>
  <si>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</si>
  <si>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</si>
  <si>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</si>
  <si>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</si>
  <si>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</si>
  <si>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</si>
  <si>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</si>
  <si>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</si>
  <si>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</si>
  <si>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</si>
  <si>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</si>
  <si>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</si>
  <si>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</si>
  <si>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</si>
  <si>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</si>
  <si>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</si>
  <si>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</si>
  <si>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</si>
  <si>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</si>
  <si>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</si>
  <si>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</si>
  <si>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</si>
  <si>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</si>
  <si>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</si>
  <si>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</si>
  <si>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</si>
  <si>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</si>
  <si>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</si>
  <si>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</si>
  <si>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</si>
  <si>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</si>
  <si>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</si>
  <si>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</si>
  <si>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</si>
  <si>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</si>
  <si>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</si>
  <si>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</si>
  <si>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</si>
  <si>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</si>
  <si>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</si>
  <si>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</si>
  <si>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</si>
  <si>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</si>
  <si>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</si>
  <si>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</si>
  <si>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</si>
  <si>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</si>
  <si>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</si>
  <si>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</si>
  <si>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</si>
  <si>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</si>
  <si>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</si>
  <si>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</si>
  <si>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</si>
  <si>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</si>
  <si>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</si>
  <si>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</si>
  <si>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</si>
  <si>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</si>
  <si>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</si>
  <si>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</si>
  <si>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</si>
  <si>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</si>
  <si>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</si>
  <si>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</si>
  <si>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</si>
  <si>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</si>
  <si>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</si>
  <si>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</si>
  <si>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</si>
  <si>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</si>
  <si>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</si>
  <si>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</si>
  <si>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</si>
  <si>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</si>
  <si>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</si>
  <si>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</si>
  <si>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</si>
  <si>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</si>
  <si>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</si>
  <si>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</si>
  <si>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</si>
  <si>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</si>
  <si>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</si>
  <si>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</si>
  <si>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</si>
  <si>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</si>
  <si>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</si>
  <si>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</si>
  <si>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</si>
  <si>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</si>
  <si>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</si>
  <si>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</si>
  <si>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</si>
  <si>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</si>
  <si>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</si>
  <si>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</si>
  <si>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</si>
  <si>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</si>
  <si>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</si>
  <si>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</si>
  <si>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</si>
  <si>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</si>
  <si>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</si>
  <si>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</si>
  <si>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</si>
  <si>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</si>
  <si>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</si>
  <si>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</si>
  <si>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</si>
  <si>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</si>
  <si>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</si>
  <si>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</si>
  <si>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</si>
  <si>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</si>
  <si>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</si>
  <si>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</si>
  <si>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</si>
  <si>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</si>
  <si>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</si>
  <si>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</si>
  <si>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</si>
  <si>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</si>
  <si>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</si>
  <si>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</si>
  <si>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</si>
  <si>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</si>
  <si>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</si>
  <si>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</si>
  <si>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</si>
  <si>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</si>
  <si>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</si>
  <si>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</si>
  <si>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</si>
  <si>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</si>
  <si>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</si>
  <si>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</si>
  <si>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</si>
  <si>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</si>
  <si>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</si>
  <si>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</si>
  <si>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</si>
  <si>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</si>
  <si>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</si>
  <si>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</si>
  <si>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</si>
  <si>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</si>
  <si>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</si>
  <si>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</si>
  <si>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</si>
  <si>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</si>
  <si>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</si>
  <si>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</si>
  <si>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</si>
  <si>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</si>
  <si>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</si>
  <si>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</si>
  <si>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</si>
  <si>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</si>
  <si>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</si>
  <si>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</si>
  <si>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</si>
  <si>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</si>
  <si>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</si>
  <si>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</si>
  <si>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</si>
  <si>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</si>
  <si>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</si>
  <si>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</si>
  <si>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</si>
  <si>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</si>
  <si>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</si>
  <si>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</si>
  <si>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</si>
  <si>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</si>
  <si>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</si>
  <si>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</si>
  <si>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</si>
  <si>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</si>
  <si>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</si>
  <si>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</si>
  <si>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</si>
  <si>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</si>
  <si>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</si>
  <si>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</si>
  <si>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</si>
  <si>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</si>
  <si>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</si>
  <si>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</si>
  <si>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</si>
  <si>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</si>
  <si>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</si>
  <si>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</si>
  <si>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</si>
  <si>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</si>
  <si>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</si>
  <si>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</si>
  <si>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</si>
  <si>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</si>
  <si>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</si>
  <si>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</si>
  <si>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</si>
  <si>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</si>
  <si>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</si>
  <si>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</si>
  <si>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</si>
  <si>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</si>
  <si>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</si>
  <si>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</si>
  <si>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</si>
  <si>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</si>
  <si>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</si>
  <si>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</si>
  <si>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</si>
  <si>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</si>
  <si>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</si>
  <si>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</si>
  <si>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</si>
  <si>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</si>
  <si>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</si>
  <si>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</si>
  <si>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</si>
  <si>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</si>
  <si>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</si>
  <si>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</si>
  <si>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</si>
  <si>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</si>
  <si>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</si>
  <si>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</si>
  <si>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</si>
  <si>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</si>
  <si>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</si>
  <si>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</si>
  <si>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</si>
  <si>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</si>
  <si>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</si>
  <si>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</si>
  <si>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</si>
  <si>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</si>
  <si>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</si>
  <si>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</si>
  <si>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</si>
  <si>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</si>
  <si>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</si>
  <si>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</si>
  <si>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</si>
  <si>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</si>
  <si>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</si>
  <si>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</si>
  <si>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</si>
  <si>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</si>
  <si>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</si>
  <si>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</si>
  <si>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</si>
  <si>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</si>
  <si>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</si>
  <si>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</si>
  <si>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</si>
  <si>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</si>
  <si>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</si>
  <si>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</si>
  <si>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</si>
  <si>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</si>
  <si>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</si>
  <si>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</si>
  <si>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</si>
  <si>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</si>
  <si>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</si>
  <si>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</si>
  <si>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</si>
  <si>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</si>
  <si>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</si>
  <si>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</si>
  <si>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</si>
  <si>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</si>
  <si>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</si>
  <si>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</si>
  <si>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</si>
  <si>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</si>
  <si>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</si>
  <si>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</si>
  <si>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</si>
  <si>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</si>
  <si>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</si>
  <si>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</si>
  <si>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</si>
  <si>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</si>
  <si>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</si>
  <si>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</si>
  <si>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</si>
  <si>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</si>
  <si>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</si>
  <si>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</si>
  <si>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</si>
  <si>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</si>
  <si>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</si>
  <si>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</si>
  <si>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</si>
  <si>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</si>
  <si>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</si>
  <si>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</si>
  <si>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</si>
  <si>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</si>
  <si>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</si>
  <si>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</si>
  <si>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</si>
  <si>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</si>
  <si>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</si>
  <si>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</si>
  <si>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</si>
  <si>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</si>
  <si>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</si>
  <si>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</si>
  <si>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</si>
  <si>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</si>
  <si>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</si>
  <si>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</si>
  <si>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</si>
  <si>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</si>
  <si>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</si>
  <si>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</si>
  <si>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</si>
  <si>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</si>
  <si>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</si>
  <si>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</si>
  <si>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</si>
  <si>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</si>
  <si>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</si>
  <si>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</si>
  <si>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</si>
  <si>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</si>
  <si>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</si>
  <si>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</si>
  <si>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</si>
  <si>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</si>
  <si>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</si>
  <si>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</si>
  <si>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</si>
  <si>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</si>
  <si>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</si>
  <si>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</si>
  <si>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</si>
  <si>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</si>
  <si>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</si>
  <si>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</si>
  <si>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</si>
  <si>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</si>
  <si>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</si>
  <si>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</si>
  <si>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</si>
  <si>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</si>
  <si>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</si>
  <si>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</si>
  <si>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</si>
  <si>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</si>
  <si>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</si>
  <si>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</si>
  <si>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</si>
  <si>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</si>
  <si>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</si>
  <si>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</si>
  <si>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</si>
  <si>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</si>
  <si>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</si>
  <si>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</si>
  <si>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Quantity</t>
  </si>
  <si>
    <t xml:space="preserve">how many qunity sold in product type </t>
  </si>
  <si>
    <t xml:space="preserve">gender based quanity sold </t>
  </si>
  <si>
    <t>Sum of Total</t>
  </si>
  <si>
    <t xml:space="preserve">payment type means how many customer purchse which payment method </t>
  </si>
  <si>
    <t>Sum of Rating</t>
  </si>
  <si>
    <t>Jan</t>
  </si>
  <si>
    <t>Feb</t>
  </si>
  <si>
    <t>Mar</t>
  </si>
  <si>
    <t>Sum of gross income</t>
  </si>
  <si>
    <t xml:space="preserve">which product is make profit </t>
  </si>
  <si>
    <t>fashinable accessories</t>
  </si>
  <si>
    <t>high profit</t>
  </si>
  <si>
    <t>health and beauty</t>
  </si>
  <si>
    <t>low</t>
  </si>
  <si>
    <t xml:space="preserve">SUPERMARKET   SALES    </t>
  </si>
  <si>
    <t>sum of total</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</si>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</sst>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quot;K&quot;"/>
    <numFmt numFmtId="166" formatCode="0.00,&quot;K&quot;"/>
  </numFmts>
  <fonts count="2" x14ac:knownFonts="1">
    <font>
      <sz val="11"/>
      <color theme="1"/>
      <name val="Aptos Narrow"/>
      <family val="2"/>
      <scheme val="minor"/>
    </font>
    <font>
      <b/>
      <sz val="36"/>
      <color theme="0"/>
      <name val="Aptos Narrow"/>
      <family val="2"/>
      <scheme val="minor"/>
    </font>
  </fonts>
  <fills count="5">
    <fill>
      <patternFill patternType="none"/>
    </fill>
    <fill>
      <patternFill patternType="gray125"/>
    </fill>
    <fill>
      <patternFill patternType="solid">
        <fgColor theme="3" tint="9.9978637043366805E-2"/>
        <bgColor indexed="64"/>
      </patternFill>
    </fill>
    <fill>
      <patternFill patternType="solid">
        <fgColor theme="2"/>
        <bgColor indexed="64"/>
      </patternFill>
    </fill>
    <fill>
      <patternFill patternType="solid">
        <fgColor theme="0"/>
        <bgColor indexed="64"/>
      </patternFill>
    </fill>
  </fills>
  <borders count="11">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s>
  <cellStyleXfs count="1">
    <xf numFmtId="0" fontId="0" fillId="0" borderId="0"/>
  </cellStyleXfs>
  <cellXfs count="2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0" fontId="1" fillId="2" borderId="0" xfId="0" applyFont="1" applyFill="1" applyBorder="1" applyAlignment="1">
      <alignment horizontal="center"/>
    </xf>
    <xf numFmtId="0" fontId="0" fillId="2" borderId="0" xfId="0" applyFill="1" applyBorder="1" applyAlignment="1">
      <alignment horizontal="center"/>
    </xf>
    <xf numFmtId="0" fontId="0" fillId="0" borderId="0" xfId="0" applyBorder="1"/>
    <xf numFmtId="0" fontId="0" fillId="3" borderId="0" xfId="0" applyFill="1" applyBorder="1" applyAlignment="1">
      <alignment horizontal="center"/>
    </xf>
    <xf numFmtId="0" fontId="0" fillId="4" borderId="0"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1" xfId="0" applyFill="1" applyBorder="1" applyAlignment="1">
      <alignment horizontal="center"/>
    </xf>
    <xf numFmtId="0" fontId="0" fillId="4" borderId="8" xfId="0" applyFill="1" applyBorder="1" applyAlignment="1">
      <alignment horizontal="center"/>
    </xf>
    <xf numFmtId="0" fontId="0" fillId="3" borderId="10" xfId="0" applyFill="1" applyBorder="1" applyAlignment="1">
      <alignment horizontal="center"/>
    </xf>
    <xf numFmtId="0" fontId="0" fillId="3" borderId="1" xfId="0" applyFill="1" applyBorder="1" applyAlignment="1">
      <alignment horizontal="center"/>
    </xf>
    <xf numFmtId="0" fontId="0" fillId="3" borderId="9" xfId="0" applyFill="1" applyBorder="1" applyAlignment="1">
      <alignment horizontal="center"/>
    </xf>
    <xf numFmtId="0" fontId="0" fillId="0" borderId="0" xfId="0" applyNumberFormat="1"/>
  </cellXfs>
  <cellStyles count="1">
    <cellStyle name="Normal" xfId="0" builtinId="0"/>
  </cellStyles>
  <dxfs count="9">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23-4DF7-92B2-D12C8CD2A6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23-4DF7-92B2-D12C8CD2A6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23-4DF7-92B2-D12C8CD2A6B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Sheet2!$A$4:$A$7</c:f>
              <c:strCache>
                <c:ptCount val="3"/>
                <c:pt idx="0">
                  <c:v>Mandalay</c:v>
                </c:pt>
                <c:pt idx="1">
                  <c:v>Naypyitaw</c:v>
                </c:pt>
                <c:pt idx="2">
                  <c:v>Yangon</c:v>
                </c:pt>
              </c:strCache>
            </c:strRef>
          </c:cat>
          <c:val>
            <c:numRef>
              <c:f>Sheet2!$B$4:$B$7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85CD-4A63-A513-CE3FFDB1BE7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a:t>
            </a:r>
            <a:r>
              <a:rPr lang="en-US" baseline="0"/>
              <a:t> VS FEMALE QUANTITY PURCHASE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5A-4841-A133-62AB860C02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5A-4841-A133-62AB860C02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Sheet3!$A$4:$A$6</c:f>
              <c:strCache>
                <c:ptCount val="2"/>
                <c:pt idx="0">
                  <c:v>Female</c:v>
                </c:pt>
                <c:pt idx="1">
                  <c:v>Male</c:v>
                </c:pt>
              </c:strCache>
            </c:strRef>
          </c:cat>
          <c:val>
            <c:numRef>
              <c:f>Sheet3!$B$4:$B$6</c:f>
              <c:numCache>
                <c:formatCode>General</c:formatCode>
                <c:ptCount val="2"/>
                <c:pt idx="0">
                  <c:v>2869</c:v>
                </c:pt>
                <c:pt idx="1">
                  <c:v>2641</c:v>
                </c:pt>
              </c:numCache>
            </c:numRef>
          </c:val>
          <c:extLst>
            <c:ext xmlns:c16="http://schemas.microsoft.com/office/drawing/2014/chart" uri="{C3380CC4-5D6E-409C-BE32-E72D297353CC}">
              <c16:uniqueId val="{00000000-7874-4731-B063-3F7CD4F4EB3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[today.xlsx]Sheet7!PivotTable6</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Payment</a:t>
            </a:r>
            <a:r>
              <a:rPr lang="en-US" sz="1200" b="1"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 Type</a:t>
            </a:r>
            <a:endParaRPr lang="en-US" sz="120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0111422370280638"/>
          <c:y val="0"/>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5813250616401"/>
          <c:y val="0.24813600788589205"/>
          <c:w val="0.80889845961035689"/>
          <c:h val="0.46994513129297749"/>
        </c:manualLayout>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Cash</c:v>
                </c:pt>
                <c:pt idx="1">
                  <c:v>Credit card</c:v>
                </c:pt>
                <c:pt idx="2">
                  <c:v>Ewallet</c:v>
                </c:pt>
              </c:strCache>
            </c:strRef>
          </c:cat>
          <c:val>
            <c:numRef>
              <c:f>Sheet7!$B$4:$B$7</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7FC2-4E92-BB0E-A7A41F778D05}"/>
            </c:ext>
          </c:extLst>
        </c:ser>
        <c:dLbls>
          <c:dLblPos val="outEnd"/>
          <c:showLegendKey val="0"/>
          <c:showVal val="1"/>
          <c:showCatName val="0"/>
          <c:showSerName val="0"/>
          <c:showPercent val="0"/>
          <c:showBubbleSize val="0"/>
        </c:dLbls>
        <c:gapWidth val="219"/>
        <c:overlap val="-27"/>
        <c:axId val="1240171632"/>
        <c:axId val="1240176912"/>
      </c:barChart>
      <c:catAx>
        <c:axId val="1240171632"/>
        <c:scaling>
          <c:orientation val="minMax"/>
        </c:scaling>
        <c:delete val="1"/>
        <c:axPos val="b"/>
        <c:numFmt formatCode="General" sourceLinked="1"/>
        <c:majorTickMark val="none"/>
        <c:minorTickMark val="none"/>
        <c:tickLblPos val="nextTo"/>
        <c:crossAx val="1240176912"/>
        <c:crosses val="autoZero"/>
        <c:auto val="1"/>
        <c:lblAlgn val="ctr"/>
        <c:lblOffset val="100"/>
        <c:noMultiLvlLbl val="0"/>
      </c:catAx>
      <c:valAx>
        <c:axId val="1240176912"/>
        <c:scaling>
          <c:orientation val="minMax"/>
        </c:scaling>
        <c:delete val="1"/>
        <c:axPos val="l"/>
        <c:numFmt formatCode="General" sourceLinked="1"/>
        <c:majorTickMark val="none"/>
        <c:minorTickMark val="none"/>
        <c:tickLblPos val="nextTo"/>
        <c:crossAx val="1240171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6">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[today.xlsx]Sheet9!PivotTable8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Product</a:t>
            </a:r>
            <a:r>
              <a:rPr lang="en-US" sz="1200" b="1" baseline="0">
                <a:latin typeface="Calibri" panose="020F0502020204030204" pitchFamily="34" charset="0"/>
                <a:ea typeface="Calibri" panose="020F0502020204030204" pitchFamily="34" charset="0"/>
                <a:cs typeface="Calibri" panose="020F0502020204030204" pitchFamily="34" charset="0"/>
              </a:rPr>
              <a:t> Profit</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sp3d/>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567254996060032"/>
          <c:y val="0.20997118007307913"/>
          <c:w val="0.59789404146152159"/>
          <c:h val="0.70872780608306318"/>
        </c:manualLayout>
      </c:layout>
      <c:bar3DChart>
        <c:barDir val="bar"/>
        <c:grouping val="clustered"/>
        <c:varyColors val="0"/>
        <c:ser>
          <c:idx val="0"/>
          <c:order val="0"/>
          <c:tx>
            <c:strRef>
              <c:f>Sheet9!$B$3</c:f>
              <c:strCache>
                <c:ptCount val="1"/>
                <c:pt idx="0">
                  <c:v>Total</c:v>
                </c:pt>
              </c:strCache>
            </c:strRef>
          </c:tx>
          <c:spPr>
            <a:solidFill>
              <a:schemeClr val="tx2">
                <a:lumMod val="75000"/>
                <a:lumOff val="25000"/>
              </a:schemeClr>
            </a:solidFill>
            <a:ln>
              <a:noFill/>
            </a:ln>
            <a:effectLst/>
            <a:sp3d/>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Sheet9!$B$4:$B$10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A4F4-4560-867C-3F3AB3D0DB6D}"/>
            </c:ext>
          </c:extLst>
        </c:ser>
        <c:dLbls>
          <c:showLegendKey val="0"/>
          <c:showVal val="1"/>
          <c:showCatName val="0"/>
          <c:showSerName val="0"/>
          <c:showPercent val="0"/>
          <c:showBubbleSize val="0"/>
        </c:dLbls>
        <c:gapWidth val="150"/>
        <c:shape val="box"/>
        <c:axId val="1092190256"/>
        <c:axId val="1092184976"/>
        <c:axId val="0"/>
      </c:bar3DChart>
      <c:catAx>
        <c:axId val="109219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184976"/>
        <c:crosses val="autoZero"/>
        <c:auto val="1"/>
        <c:lblAlgn val="ctr"/>
        <c:lblOffset val="100"/>
        <c:noMultiLvlLbl val="0"/>
      </c:catAx>
      <c:valAx>
        <c:axId val="1092184976"/>
        <c:scaling>
          <c:orientation val="minMax"/>
        </c:scaling>
        <c:delete val="1"/>
        <c:axPos val="b"/>
        <c:numFmt formatCode="General" sourceLinked="1"/>
        <c:majorTickMark val="none"/>
        <c:minorTickMark val="none"/>
        <c:tickLblPos val="nextTo"/>
        <c:crossAx val="109219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[today.xlsx]Sheet3!PivotTable2</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Gender</a:t>
            </a:r>
            <a:r>
              <a:rPr lang="en-US" sz="1200" b="1" baseline="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 based Quantity Purchase</a:t>
            </a:r>
            <a:endParaRPr lang="en-US" sz="1200" b="1">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5">
              <a:lumMod val="60000"/>
              <a:lumOff val="40000"/>
            </a:schemeClr>
          </a:solidFill>
          <a:ln w="9525" cap="flat" cmpd="sng" algn="ctr">
            <a:solidFill>
              <a:schemeClr val="accent1">
                <a:shade val="95000"/>
              </a:schemeClr>
            </a:solidFill>
            <a:round/>
          </a:ln>
          <a:effectLst/>
        </c:spPr>
        <c:marker>
          <c:symbol val="none"/>
        </c:marker>
        <c:dLbl>
          <c:idx val="0"/>
          <c:spPr>
            <a:solidFill>
              <a:srgbClr val="0F9E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60000"/>
              <a:lumOff val="40000"/>
            </a:schemeClr>
          </a:solidFill>
          <a:ln w="9525" cap="flat" cmpd="sng" algn="ctr">
            <a:solidFill>
              <a:schemeClr val="accent1">
                <a:shade val="95000"/>
              </a:schemeClr>
            </a:solidFill>
            <a:round/>
          </a:ln>
          <a:effectLst/>
        </c:spPr>
        <c:dLbl>
          <c:idx val="0"/>
          <c:layout>
            <c:manualLayout>
              <c:x val="0.15476190476190477"/>
              <c:y val="-0.11467889908256881"/>
            </c:manualLayout>
          </c:layout>
          <c:spPr>
            <a:solidFill>
              <a:srgbClr val="0F9E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2">
              <a:lumMod val="75000"/>
              <a:lumOff val="25000"/>
            </a:schemeClr>
          </a:solidFill>
          <a:ln w="9525" cap="flat" cmpd="sng" algn="ctr">
            <a:solidFill>
              <a:schemeClr val="accent1">
                <a:shade val="95000"/>
              </a:schemeClr>
            </a:solidFill>
            <a:round/>
          </a:ln>
          <a:effectLst/>
        </c:spPr>
        <c:dLbl>
          <c:idx val="0"/>
          <c:layout>
            <c:manualLayout>
              <c:x val="-0.12301587301587305"/>
              <c:y val="-9.9388379204893032E-2"/>
            </c:manualLayout>
          </c:layout>
          <c:spPr>
            <a:solidFill>
              <a:srgbClr val="0F9E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009744016310907"/>
          <c:y val="0.25473300553588007"/>
          <c:w val="0.36979730194567617"/>
          <c:h val="0.6776925810037937"/>
        </c:manualLayout>
      </c:layout>
      <c:doughnutChart>
        <c:varyColors val="1"/>
        <c:ser>
          <c:idx val="0"/>
          <c:order val="0"/>
          <c:tx>
            <c:strRef>
              <c:f>Sheet3!$B$3</c:f>
              <c:strCache>
                <c:ptCount val="1"/>
                <c:pt idx="0">
                  <c:v>Total</c:v>
                </c:pt>
              </c:strCache>
            </c:strRef>
          </c:tx>
          <c:spPr>
            <a:solidFill>
              <a:schemeClr val="accent5">
                <a:lumMod val="60000"/>
                <a:lumOff val="40000"/>
              </a:schemeClr>
            </a:solidFill>
          </c:spPr>
          <c:dPt>
            <c:idx val="0"/>
            <c:bubble3D val="0"/>
            <c:spPr>
              <a:solidFill>
                <a:schemeClr val="accent5">
                  <a:lumMod val="60000"/>
                  <a:lumOff val="4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1-37AA-4699-AC53-C274FC7E612F}"/>
              </c:ext>
            </c:extLst>
          </c:dPt>
          <c:dPt>
            <c:idx val="1"/>
            <c:bubble3D val="0"/>
            <c:spPr>
              <a:solidFill>
                <a:schemeClr val="tx2">
                  <a:lumMod val="75000"/>
                  <a:lumOff val="25000"/>
                </a:schemeClr>
              </a:solidFill>
              <a:ln w="9525" cap="flat" cmpd="sng" algn="ctr">
                <a:solidFill>
                  <a:schemeClr val="accent2">
                    <a:shade val="95000"/>
                  </a:schemeClr>
                </a:solidFill>
                <a:round/>
              </a:ln>
              <a:effectLst/>
            </c:spPr>
            <c:extLst>
              <c:ext xmlns:c16="http://schemas.microsoft.com/office/drawing/2014/chart" uri="{C3380CC4-5D6E-409C-BE32-E72D297353CC}">
                <c16:uniqueId val="{00000003-37AA-4699-AC53-C274FC7E612F}"/>
              </c:ext>
            </c:extLst>
          </c:dPt>
          <c:dLbls>
            <c:dLbl>
              <c:idx val="0"/>
              <c:layout>
                <c:manualLayout>
                  <c:x val="0.15476190476190477"/>
                  <c:y val="-0.114678899082568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AA-4699-AC53-C274FC7E612F}"/>
                </c:ext>
              </c:extLst>
            </c:dLbl>
            <c:dLbl>
              <c:idx val="1"/>
              <c:layout>
                <c:manualLayout>
                  <c:x val="-0.12301587301587305"/>
                  <c:y val="-9.93883792048930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AA-4699-AC53-C274FC7E612F}"/>
                </c:ext>
              </c:extLst>
            </c:dLbl>
            <c:spPr>
              <a:solidFill>
                <a:srgbClr val="0F9E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Sheet3!$A$4:$A$6</c:f>
              <c:strCache>
                <c:ptCount val="2"/>
                <c:pt idx="0">
                  <c:v>Female</c:v>
                </c:pt>
                <c:pt idx="1">
                  <c:v>Male</c:v>
                </c:pt>
              </c:strCache>
            </c:strRef>
          </c:cat>
          <c:val>
            <c:numRef>
              <c:f>Sheet3!$B$4:$B$6</c:f>
              <c:numCache>
                <c:formatCode>General</c:formatCode>
                <c:ptCount val="2"/>
                <c:pt idx="0">
                  <c:v>2869</c:v>
                </c:pt>
                <c:pt idx="1">
                  <c:v>2641</c:v>
                </c:pt>
              </c:numCache>
            </c:numRef>
          </c:val>
          <c:extLst>
            <c:ext xmlns:c16="http://schemas.microsoft.com/office/drawing/2014/chart" uri="{C3380CC4-5D6E-409C-BE32-E72D297353CC}">
              <c16:uniqueId val="{00000004-37AA-4699-AC53-C274FC7E612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[today.xlsx]Sheet16!PivotTable1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Product Rating</a:t>
            </a:r>
          </a:p>
        </c:rich>
      </c:tx>
      <c:layout>
        <c:manualLayout>
          <c:xMode val="edge"/>
          <c:yMode val="edge"/>
          <c:x val="0.36727777777777776"/>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09014758068198"/>
          <c:y val="0.23041666666666663"/>
          <c:w val="0.6368801941343406"/>
          <c:h val="0.69359776902887138"/>
        </c:manualLayout>
      </c:layout>
      <c:barChart>
        <c:barDir val="bar"/>
        <c:grouping val="clustered"/>
        <c:varyColors val="0"/>
        <c:ser>
          <c:idx val="1"/>
          <c:order val="0"/>
          <c:tx>
            <c:strRef>
              <c:f>Sheet16!$B$3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Sheet16!$B$4:$B$10</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3-CC4F-41EE-BD93-7B71C0F8F681}"/>
            </c:ext>
          </c:extLst>
        </c:ser>
        <c:dLbls>
          <c:dLblPos val="outEnd"/>
          <c:showLegendKey val="0"/>
          <c:showVal val="1"/>
          <c:showCatName val="0"/>
          <c:showSerName val="0"/>
          <c:showPercent val="0"/>
          <c:showBubbleSize val="0"/>
        </c:dLbls>
        <c:gapWidth val="100"/>
        <c:axId val="1356828944"/>
        <c:axId val="1356850064"/>
      </c:barChart>
      <c:catAx>
        <c:axId val="13568289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6850064"/>
        <c:crosses val="autoZero"/>
        <c:auto val="1"/>
        <c:lblAlgn val="ctr"/>
        <c:lblOffset val="100"/>
        <c:noMultiLvlLbl val="0"/>
      </c:catAx>
      <c:valAx>
        <c:axId val="1356850064"/>
        <c:scaling>
          <c:orientation val="minMax"/>
        </c:scaling>
        <c:delete val="1"/>
        <c:axPos val="b"/>
        <c:numFmt formatCode="General" sourceLinked="1"/>
        <c:majorTickMark val="none"/>
        <c:minorTickMark val="none"/>
        <c:tickLblPos val="nextTo"/>
        <c:crossAx val="1356828944"/>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[today.xlsx]Sheet8!PivotTable7</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b="1">
                <a:latin typeface="Calibri" panose="020F0502020204030204" pitchFamily="34" charset="0"/>
                <a:ea typeface="Calibri" panose="020F0502020204030204" pitchFamily="34" charset="0"/>
                <a:cs typeface="Calibri" panose="020F0502020204030204" pitchFamily="34" charset="0"/>
              </a:rPr>
              <a:t>Month</a:t>
            </a:r>
            <a:r>
              <a:rPr lang="en-US" sz="1200" b="1" baseline="0">
                <a:latin typeface="Calibri" panose="020F0502020204030204" pitchFamily="34" charset="0"/>
                <a:ea typeface="Calibri" panose="020F0502020204030204" pitchFamily="34" charset="0"/>
                <a:cs typeface="Calibri" panose="020F0502020204030204" pitchFamily="34" charset="0"/>
              </a:rPr>
              <a:t>ly Sales </a:t>
            </a:r>
            <a:endParaRPr lang="en-US" sz="12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5810344295198393"/>
          <c:y val="2.240911098983913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accent1"/>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8980392156862742E-2"/>
              <c:y val="-0.13607689509108392"/>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1228964026553"/>
          <c:y val="0.26078064499363324"/>
          <c:w val="0.66031218156553961"/>
          <c:h val="0.57745770640056127"/>
        </c:manualLayout>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1DF8-4AED-80C8-18AD400120BF}"/>
              </c:ext>
            </c:extLst>
          </c:dPt>
          <c:dLbls>
            <c:dLbl>
              <c:idx val="1"/>
              <c:layout>
                <c:manualLayout>
                  <c:x val="-7.8980392156862742E-2"/>
                  <c:y val="-0.136076895091083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F8-4AED-80C8-18AD400120BF}"/>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Sheet8!$A$4:$A$7</c:f>
              <c:strCache>
                <c:ptCount val="3"/>
                <c:pt idx="0">
                  <c:v>Jan</c:v>
                </c:pt>
                <c:pt idx="1">
                  <c:v>Feb</c:v>
                </c:pt>
                <c:pt idx="2">
                  <c:v>Mar</c:v>
                </c:pt>
              </c:strCache>
            </c:strRef>
          </c:cat>
          <c:val>
            <c:numRef>
              <c:f>Sheet8!$B$4:$B$7</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EC51-42B1-A3D3-A8E98603B38E}"/>
            </c:ext>
          </c:extLst>
        </c:ser>
        <c:dLbls>
          <c:dLblPos val="t"/>
          <c:showLegendKey val="0"/>
          <c:showVal val="1"/>
          <c:showCatName val="0"/>
          <c:showSerName val="0"/>
          <c:showPercent val="0"/>
          <c:showBubbleSize val="0"/>
        </c:dLbls>
        <c:smooth val="0"/>
        <c:axId val="1087650800"/>
        <c:axId val="1087649360"/>
      </c:lineChart>
      <c:catAx>
        <c:axId val="1087650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649360"/>
        <c:crosses val="autoZero"/>
        <c:auto val="1"/>
        <c:lblAlgn val="ctr"/>
        <c:lblOffset val="100"/>
        <c:noMultiLvlLbl val="0"/>
      </c:catAx>
      <c:valAx>
        <c:axId val="1087649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65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[today.xlsx]Sheet2!PivotTable1</c:name>
    <c:fmtId val="9"/>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4EA72E">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741026501174102"/>
              <c:y val="-0.13400335008375214"/>
            </c:manualLayout>
          </c:layout>
          <c:spPr>
            <a:solidFill>
              <a:srgbClr val="4EA72E">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lumMod val="60000"/>
              <a:lumOff val="40000"/>
            </a:schemeClr>
          </a:solidFill>
          <a:ln w="19050">
            <a:solidFill>
              <a:schemeClr val="lt1"/>
            </a:solidFill>
          </a:ln>
          <a:effectLst/>
        </c:spPr>
        <c:dLbl>
          <c:idx val="0"/>
          <c:layout>
            <c:manualLayout>
              <c:x val="-3.3545790003354577E-3"/>
              <c:y val="0.12562814070351744"/>
            </c:manualLayout>
          </c:layout>
          <c:spPr>
            <a:solidFill>
              <a:srgbClr val="4EA72E">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734652801073462"/>
              <c:y val="-0.10050251256281408"/>
            </c:manualLayout>
          </c:layout>
          <c:spPr>
            <a:solidFill>
              <a:srgbClr val="4EA72E">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72-46AE-BC50-2D402458B26C}"/>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B872-46AE-BC50-2D402458B2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72-46AE-BC50-2D402458B26C}"/>
              </c:ext>
            </c:extLst>
          </c:dPt>
          <c:dLbls>
            <c:dLbl>
              <c:idx val="0"/>
              <c:layout>
                <c:manualLayout>
                  <c:x val="0.11741026501174102"/>
                  <c:y val="-0.134003350083752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872-46AE-BC50-2D402458B26C}"/>
                </c:ext>
              </c:extLst>
            </c:dLbl>
            <c:dLbl>
              <c:idx val="1"/>
              <c:layout>
                <c:manualLayout>
                  <c:x val="-3.3545790003354577E-3"/>
                  <c:y val="0.125628140703517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72-46AE-BC50-2D402458B26C}"/>
                </c:ext>
              </c:extLst>
            </c:dLbl>
            <c:dLbl>
              <c:idx val="2"/>
              <c:layout>
                <c:manualLayout>
                  <c:x val="-0.10734652801073462"/>
                  <c:y val="-0.100502512562814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872-46AE-BC50-2D402458B26C}"/>
                </c:ext>
              </c:extLst>
            </c:dLbl>
            <c:spPr>
              <a:solidFill>
                <a:srgbClr val="4EA72E">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Sheet2!$A$4:$A$7</c:f>
              <c:strCache>
                <c:ptCount val="3"/>
                <c:pt idx="0">
                  <c:v>Mandalay</c:v>
                </c:pt>
                <c:pt idx="1">
                  <c:v>Naypyitaw</c:v>
                </c:pt>
                <c:pt idx="2">
                  <c:v>Yangon</c:v>
                </c:pt>
              </c:strCache>
            </c:strRef>
          </c:cat>
          <c:val>
            <c:numRef>
              <c:f>Sheet2!$B$4:$B$7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B872-46AE-BC50-2D402458B26C}"/>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[today.xlsx]Sheet12!PivotTable10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latin typeface="Calibri" panose="020F0502020204030204" pitchFamily="34" charset="0"/>
                <a:ea typeface="Calibri" panose="020F0502020204030204" pitchFamily="34" charset="0"/>
                <a:cs typeface="Calibri" panose="020F0502020204030204" pitchFamily="34" charset="0"/>
              </a:rPr>
              <a:t>Customer Type Sales  </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24586933796598"/>
          <c:y val="0.22558407777503145"/>
          <c:w val="0.7967540754653375"/>
          <c:h val="0.60954430793427083"/>
        </c:manualLayout>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Sheet12!$A$4:$A$6</c:f>
              <c:strCache>
                <c:ptCount val="2"/>
                <c:pt idx="0">
                  <c:v>Member</c:v>
                </c:pt>
                <c:pt idx="1">
                  <c:v>Normal</c:v>
                </c:pt>
              </c:strCache>
            </c:strRef>
          </c:cat>
          <c:val>
            <c:numRef>
              <c:f>Sheet12!$B$4:$B$6</c:f>
              <c:numCache>
                <c:formatCode>General</c:formatCode>
                <c:ptCount val="2"/>
                <c:pt idx="0">
                  <c:v>164223.44400000002</c:v>
                </c:pt>
                <c:pt idx="1">
                  <c:v>158743.30500000005</c:v>
                </c:pt>
              </c:numCache>
            </c:numRef>
          </c:val>
          <c:extLst>
            <c:ext xmlns:c16="http://schemas.microsoft.com/office/drawing/2014/chart" uri="{C3380CC4-5D6E-409C-BE32-E72D297353CC}">
              <c16:uniqueId val="{00000000-95C6-431E-94B6-F8021127DC4D}"/>
            </c:ext>
          </c:extLst>
        </c:ser>
        <c:dLbls>
          <c:dLblPos val="outEnd"/>
          <c:showLegendKey val="0"/>
          <c:showVal val="1"/>
          <c:showCatName val="0"/>
          <c:showSerName val="0"/>
          <c:showPercent val="0"/>
          <c:showBubbleSize val="0"/>
        </c:dLbls>
        <c:gapWidth val="219"/>
        <c:overlap val="-27"/>
        <c:axId val="1274955568"/>
        <c:axId val="1274952688"/>
      </c:barChart>
      <c:catAx>
        <c:axId val="12749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52688"/>
        <c:crosses val="autoZero"/>
        <c:auto val="1"/>
        <c:lblAlgn val="ctr"/>
        <c:lblOffset val="100"/>
        <c:noMultiLvlLbl val="0"/>
      </c:catAx>
      <c:valAx>
        <c:axId val="1274952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5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Mandalay</c:v>
                </c:pt>
                <c:pt idx="1">
                  <c:v>Naypyitaw</c:v>
                </c:pt>
                <c:pt idx="2">
                  <c:v>Yangon</c:v>
                </c:pt>
              </c:strCache>
            </c:strRef>
          </c:cat>
          <c:val>
            <c:numRef>
              <c:f>Sheet5!$B$4:$B$7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0535-4BF7-A15F-BF7ABCF15794}"/>
            </c:ext>
          </c:extLst>
        </c:ser>
        <c:dLbls>
          <c:showLegendKey val="0"/>
          <c:showVal val="0"/>
          <c:showCatName val="0"/>
          <c:showSerName val="0"/>
          <c:showPercent val="0"/>
          <c:showBubbleSize val="0"/>
        </c:dLbls>
        <c:gapWidth val="219"/>
        <c:overlap val="-27"/>
        <c:axId val="2114415151"/>
        <c:axId val="2114416111"/>
      </c:barChart>
      <c:catAx>
        <c:axId val="211441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416111"/>
        <c:crosses val="autoZero"/>
        <c:auto val="1"/>
        <c:lblAlgn val="ctr"/>
        <c:lblOffset val="100"/>
        <c:noMultiLvlLbl val="0"/>
      </c:catAx>
      <c:valAx>
        <c:axId val="211441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41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[today.xlsx]Sheet7!PivotTable6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Cash</c:v>
                </c:pt>
                <c:pt idx="1">
                  <c:v>Credit card</c:v>
                </c:pt>
                <c:pt idx="2">
                  <c:v>Ewallet</c:v>
                </c:pt>
              </c:strCache>
            </c:strRef>
          </c:cat>
          <c:val>
            <c:numRef>
              <c:f>Sheet7!$B$4:$B$7</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1852-4B17-AF0F-B891D4AA7C05}"/>
            </c:ext>
          </c:extLst>
        </c:ser>
        <c:dLbls>
          <c:dLblPos val="outEnd"/>
          <c:showLegendKey val="0"/>
          <c:showVal val="1"/>
          <c:showCatName val="0"/>
          <c:showSerName val="0"/>
          <c:showPercent val="0"/>
          <c:showBubbleSize val="0"/>
        </c:dLbls>
        <c:gapWidth val="219"/>
        <c:overlap val="-27"/>
        <c:axId val="1240171632"/>
        <c:axId val="1240176912"/>
      </c:barChart>
      <c:catAx>
        <c:axId val="1240171632"/>
        <c:scaling>
          <c:orientation val="minMax"/>
        </c:scaling>
        <c:delete val="1"/>
        <c:axPos val="b"/>
        <c:numFmt formatCode="General" sourceLinked="1"/>
        <c:majorTickMark val="none"/>
        <c:minorTickMark val="none"/>
        <c:tickLblPos val="nextTo"/>
        <c:crossAx val="1240176912"/>
        <c:crosses val="autoZero"/>
        <c:auto val="1"/>
        <c:lblAlgn val="ctr"/>
        <c:lblOffset val="100"/>
        <c:noMultiLvlLbl val="0"/>
      </c:catAx>
      <c:valAx>
        <c:axId val="124017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171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[today.xlsx]Sheet8!PivotTable7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Sheet8!$A$4:$A$7</c:f>
              <c:strCache>
                <c:ptCount val="3"/>
                <c:pt idx="0">
                  <c:v>Jan</c:v>
                </c:pt>
                <c:pt idx="1">
                  <c:v>Feb</c:v>
                </c:pt>
                <c:pt idx="2">
                  <c:v>Mar</c:v>
                </c:pt>
              </c:strCache>
            </c:strRef>
          </c:cat>
          <c:val>
            <c:numRef>
              <c:f>Sheet8!$B$4:$B$7</c:f>
              <c:numCache>
                <c:formatCode>General</c:formatCode>
                <c:ptCount val="3"/>
                <c:pt idx="0">
                  <c:v>116291.86800000005</c:v>
                </c:pt>
                <c:pt idx="1">
                  <c:v>97219.373999999967</c:v>
                </c:pt>
                <c:pt idx="2">
                  <c:v>109455.50700000004</c:v>
                </c:pt>
              </c:numCache>
            </c:numRef>
          </c:val>
          <c:extLst>
            <c:ext xmlns:c16="http://schemas.microsoft.com/office/drawing/2014/chart" uri="{C3380CC4-5D6E-409C-BE32-E72D297353CC}">
              <c16:uniqueId val="{00000000-B604-46A4-8AF5-861863682969}"/>
            </c:ext>
          </c:extLst>
        </c:ser>
        <c:dLbls>
          <c:showLegendKey val="0"/>
          <c:showVal val="0"/>
          <c:showCatName val="0"/>
          <c:showSerName val="0"/>
          <c:showPercent val="0"/>
          <c:showBubbleSize val="0"/>
        </c:dLbls>
        <c:gapWidth val="219"/>
        <c:overlap val="-27"/>
        <c:axId val="1087650800"/>
        <c:axId val="1087649360"/>
      </c:barChart>
      <c:catAx>
        <c:axId val="108765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649360"/>
        <c:crosses val="autoZero"/>
        <c:auto val="1"/>
        <c:lblAlgn val="ctr"/>
        <c:lblOffset val="100"/>
        <c:noMultiLvlLbl val="0"/>
      </c:catAx>
      <c:valAx>
        <c:axId val="108764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65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[today.xlsx]Sheet9!PivotTable8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Sheet9!$B$4:$B$10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1CAE-4507-9F68-54F95A83ECFB}"/>
            </c:ext>
          </c:extLst>
        </c:ser>
        <c:dLbls>
          <c:showLegendKey val="0"/>
          <c:showVal val="1"/>
          <c:showCatName val="0"/>
          <c:showSerName val="0"/>
          <c:showPercent val="0"/>
          <c:showBubbleSize val="0"/>
        </c:dLbls>
        <c:gapWidth val="150"/>
        <c:shape val="box"/>
        <c:axId val="1092190256"/>
        <c:axId val="1092184976"/>
        <c:axId val="0"/>
      </c:bar3DChart>
      <c:catAx>
        <c:axId val="109219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184976"/>
        <c:crosses val="autoZero"/>
        <c:auto val="1"/>
        <c:lblAlgn val="ctr"/>
        <c:lblOffset val="100"/>
        <c:noMultiLvlLbl val="0"/>
      </c:catAx>
      <c:valAx>
        <c:axId val="1092184976"/>
        <c:scaling>
          <c:orientation val="minMax"/>
        </c:scaling>
        <c:delete val="1"/>
        <c:axPos val="b"/>
        <c:numFmt formatCode="General" sourceLinked="1"/>
        <c:majorTickMark val="none"/>
        <c:minorTickMark val="none"/>
        <c:tickLblPos val="nextTo"/>
        <c:crossAx val="109219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[today.xlsx]Sheet12!PivotTable10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Sheet12!$A$4:$A$6</c:f>
              <c:strCache>
                <c:ptCount val="2"/>
                <c:pt idx="0">
                  <c:v>Member</c:v>
                </c:pt>
                <c:pt idx="1">
                  <c:v>Normal</c:v>
                </c:pt>
              </c:strCache>
            </c:strRef>
          </c:cat>
          <c:val>
            <c:numRef>
              <c:f>Sheet12!$B$4:$B$6</c:f>
              <c:numCache>
                <c:formatCode>General</c:formatCode>
                <c:ptCount val="2"/>
                <c:pt idx="0">
                  <c:v>164223.44400000002</c:v>
                </c:pt>
                <c:pt idx="1">
                  <c:v>158743.30500000005</c:v>
                </c:pt>
              </c:numCache>
            </c:numRef>
          </c:val>
          <c:extLst>
            <c:ext xmlns:c16="http://schemas.microsoft.com/office/drawing/2014/chart" uri="{C3380CC4-5D6E-409C-BE32-E72D297353CC}">
              <c16:uniqueId val="{00000000-BB58-4860-852E-ECB4A50DDC2E}"/>
            </c:ext>
          </c:extLst>
        </c:ser>
        <c:dLbls>
          <c:dLblPos val="outEnd"/>
          <c:showLegendKey val="0"/>
          <c:showVal val="1"/>
          <c:showCatName val="0"/>
          <c:showSerName val="0"/>
          <c:showPercent val="0"/>
          <c:showBubbleSize val="0"/>
        </c:dLbls>
        <c:gapWidth val="219"/>
        <c:overlap val="-27"/>
        <c:axId val="1274955568"/>
        <c:axId val="1274952688"/>
      </c:barChart>
      <c:catAx>
        <c:axId val="12749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52688"/>
        <c:crosses val="autoZero"/>
        <c:auto val="1"/>
        <c:lblAlgn val="ctr"/>
        <c:lblOffset val="100"/>
        <c:noMultiLvlLbl val="0"/>
      </c:catAx>
      <c:valAx>
        <c:axId val="1274952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95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[today.xlsx]Sheet15!PivotTable1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03-447B-B9FE-55366605F0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03-447B-B9FE-55366605F0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03-447B-B9FE-55366605F0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Sheet15!$A$4:$A$10</c:f>
              <c:multiLvlStrCache>
                <c:ptCount val="3"/>
                <c:lvl>
                  <c:pt idx="0">
                    <c:v>B</c:v>
                  </c:pt>
                  <c:pt idx="1">
                    <c:v>C</c:v>
                  </c:pt>
                  <c:pt idx="2">
                    <c:v>A</c:v>
                  </c:pt>
                </c:lvl>
                <c:lvl>
                  <c:pt idx="0">
                    <c:v>Mandalay</c:v>
                  </c:pt>
                  <c:pt idx="1">
                    <c:v>Naypyitaw</c:v>
                  </c:pt>
                  <c:pt idx="2">
                    <c:v>Yangon</c:v>
                  </c:pt>
                </c:lvl>
              </c:multiLvlStrCache>
            </c:multiLvlStrRef>
          </c:cat>
          <c:val>
            <c:numRef>
              <c:f>Sheet15!$B$4:$B$10</c:f>
              <c:numCache>
                <c:formatCode>General</c:formatCode>
                <c:ptCount val="3"/>
                <c:pt idx="0">
                  <c:v>1820</c:v>
                </c:pt>
                <c:pt idx="1">
                  <c:v>1831</c:v>
                </c:pt>
                <c:pt idx="2">
                  <c:v>1859</c:v>
                </c:pt>
              </c:numCache>
            </c:numRef>
          </c:val>
          <c:extLst>
            <c:ext xmlns:c16="http://schemas.microsoft.com/office/drawing/2014/chart" uri="{C3380CC4-5D6E-409C-BE32-E72D297353CC}">
              <c16:uniqueId val="{00000000-60BD-4542-B887-FC76C2C6A8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[today.xlsx]Sheet16!PivotTable1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Product</a:t>
            </a:r>
            <a:r>
              <a:rPr lang="en-US" sz="1200" baseline="0">
                <a:latin typeface="Calibri" panose="020F0502020204030204" pitchFamily="34" charset="0"/>
                <a:ea typeface="Calibri" panose="020F0502020204030204" pitchFamily="34" charset="0"/>
                <a:cs typeface="Calibri" panose="020F0502020204030204" pitchFamily="34" charset="0"/>
              </a:rPr>
              <a:t> Rating</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672777777777777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Sheet16!$B$4:$B$10</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81F4-48AB-8830-1B838C397067}"/>
            </c:ext>
          </c:extLst>
        </c:ser>
        <c:dLbls>
          <c:dLblPos val="outEnd"/>
          <c:showLegendKey val="0"/>
          <c:showVal val="1"/>
          <c:showCatName val="0"/>
          <c:showSerName val="0"/>
          <c:showPercent val="0"/>
          <c:showBubbleSize val="0"/>
        </c:dLbls>
        <c:gapWidth val="219"/>
        <c:overlap val="-27"/>
        <c:axId val="1356828944"/>
        <c:axId val="1356850064"/>
      </c:barChart>
      <c:catAx>
        <c:axId val="135682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50064"/>
        <c:crosses val="autoZero"/>
        <c:auto val="1"/>
        <c:lblAlgn val="ctr"/>
        <c:lblOffset val="100"/>
        <c:noMultiLvlLbl val="0"/>
      </c:catAx>
      <c:valAx>
        <c:axId val="135685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28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3" Type="http://schemas.openxmlformats.org/officeDocument/2006/relationships/chart" Target="../charts/chart5.xml"/><Relationship Id="rId7" Type="http://schemas.openxmlformats.org/officeDocument/2006/relationships/image" Target="../media/image2.png"/><Relationship Id="rId12" Type="http://schemas.openxmlformats.org/officeDocument/2006/relationships/chart" Target="../charts/chart8.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png"/><Relationship Id="rId11" Type="http://schemas.openxmlformats.org/officeDocument/2006/relationships/image" Target="../media/image6.jpeg"/><Relationship Id="rId5" Type="http://schemas.openxmlformats.org/officeDocument/2006/relationships/chart" Target="../charts/chart7.xml"/><Relationship Id="rId10" Type="http://schemas.openxmlformats.org/officeDocument/2006/relationships/image" Target="../media/image5.png"/><Relationship Id="rId4" Type="http://schemas.openxmlformats.org/officeDocument/2006/relationships/chart" Target="../charts/chart6.xml"/><Relationship Id="rId9"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571500</xdr:colOff>
      <xdr:row>6</xdr:row>
      <xdr:rowOff>45720</xdr:rowOff>
    </xdr:from>
    <xdr:to>
      <xdr:col>14</xdr:col>
      <xdr:colOff>266700</xdr:colOff>
      <xdr:row>21</xdr:row>
      <xdr:rowOff>45720</xdr:rowOff>
    </xdr:to>
    <xdr:graphicFrame macro="">
      <xdr:nvGraphicFramePr>
        <xdr:cNvPr id="2" name="Chart 1">
          <a:extLst>
            <a:ext uri="{FF2B5EF4-FFF2-40B4-BE49-F238E27FC236}">
              <a16:creationId xmlns:a16="http://schemas.microsoft.com/office/drawing/2014/main" id="{5E32FE40-3F83-EF0F-12E4-0549F447D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381000</xdr:colOff>
      <xdr:row>6</xdr:row>
      <xdr:rowOff>45720</xdr:rowOff>
    </xdr:from>
    <xdr:to>
      <xdr:col>14</xdr:col>
      <xdr:colOff>76200</xdr:colOff>
      <xdr:row>21</xdr:row>
      <xdr:rowOff>45720</xdr:rowOff>
    </xdr:to>
    <xdr:graphicFrame macro="">
      <xdr:nvGraphicFramePr>
        <xdr:cNvPr id="2" name="Chart 1">
          <a:extLst>
            <a:ext uri="{FF2B5EF4-FFF2-40B4-BE49-F238E27FC236}">
              <a16:creationId xmlns:a16="http://schemas.microsoft.com/office/drawing/2014/main" id="{5FB804FA-D65F-7914-A580-DDD6937A2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731520</xdr:colOff>
      <xdr:row>4</xdr:row>
      <xdr:rowOff>53340</xdr:rowOff>
    </xdr:from>
    <xdr:to>
      <xdr:col>5</xdr:col>
      <xdr:colOff>579120</xdr:colOff>
      <xdr:row>18</xdr:row>
      <xdr:rowOff>74295</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43204580-DD22-CAF3-846E-6309F5E0F8D7}"/>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560320" y="784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342900</xdr:colOff>
      <xdr:row>6</xdr:row>
      <xdr:rowOff>45721</xdr:rowOff>
    </xdr:from>
    <xdr:to>
      <xdr:col>8</xdr:col>
      <xdr:colOff>342900</xdr:colOff>
      <xdr:row>12</xdr:row>
      <xdr:rowOff>167641</xdr:rowOff>
    </xdr:to>
    <mc:AlternateContent xmlns:mc="http://schemas.openxmlformats.org/markup-compatibility/2006" xmlns:a14="http://schemas.microsoft.com/office/drawing/2010/main">
      <mc:Choice Requires="a14">
        <xdr:graphicFrame macro="">
          <xdr:nvGraphicFramePr>
            <xdr:cNvPr id="2" name="Payment 1">
              <a:extLst>
                <a:ext uri="{FF2B5EF4-FFF2-40B4-BE49-F238E27FC236}">
                  <a16:creationId xmlns:a16="http://schemas.microsoft.com/office/drawing/2014/main" id="{B39DCD60-2C97-6FE4-F72A-7F12D5243385}"/>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4632960" y="11430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106680</xdr:colOff>
      <xdr:row>6</xdr:row>
      <xdr:rowOff>129540</xdr:rowOff>
    </xdr:from>
    <xdr:to>
      <xdr:col>7</xdr:col>
      <xdr:colOff>228600</xdr:colOff>
      <xdr:row>16</xdr:row>
      <xdr:rowOff>68580</xdr:rowOff>
    </xdr:to>
    <xdr:graphicFrame macro="">
      <xdr:nvGraphicFramePr>
        <xdr:cNvPr id="3" name="Chart 2">
          <a:extLst>
            <a:ext uri="{FF2B5EF4-FFF2-40B4-BE49-F238E27FC236}">
              <a16:creationId xmlns:a16="http://schemas.microsoft.com/office/drawing/2014/main" id="{20246FF7-F313-4231-B6C0-9FD7D2091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601980</xdr:colOff>
      <xdr:row>6</xdr:row>
      <xdr:rowOff>129540</xdr:rowOff>
    </xdr:from>
    <xdr:to>
      <xdr:col>18</xdr:col>
      <xdr:colOff>109220</xdr:colOff>
      <xdr:row>16</xdr:row>
      <xdr:rowOff>7620</xdr:rowOff>
    </xdr:to>
    <xdr:graphicFrame macro="">
      <xdr:nvGraphicFramePr>
        <xdr:cNvPr id="4" name="Chart 3">
          <a:extLst>
            <a:ext uri="{FF2B5EF4-FFF2-40B4-BE49-F238E27FC236}">
              <a16:creationId xmlns:a16="http://schemas.microsoft.com/office/drawing/2014/main" id="{CE40248B-5AA9-4A54-8858-B1D197117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340360</xdr:colOff>
      <xdr:row>6</xdr:row>
      <xdr:rowOff>129540</xdr:rowOff>
    </xdr:from>
    <xdr:to>
      <xdr:col>12</xdr:col>
      <xdr:colOff>490220</xdr:colOff>
      <xdr:row>16</xdr:row>
      <xdr:rowOff>45720</xdr:rowOff>
    </xdr:to>
    <xdr:graphicFrame macro="">
      <xdr:nvGraphicFramePr>
        <xdr:cNvPr id="5" name="Chart 4">
          <a:extLst>
            <a:ext uri="{FF2B5EF4-FFF2-40B4-BE49-F238E27FC236}">
              <a16:creationId xmlns:a16="http://schemas.microsoft.com/office/drawing/2014/main" id="{9B4BCCC7-68A2-4124-8E6B-B2971236D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16</xdr:row>
      <xdr:rowOff>167640</xdr:rowOff>
    </xdr:from>
    <xdr:to>
      <xdr:col>8</xdr:col>
      <xdr:colOff>457200</xdr:colOff>
      <xdr:row>26</xdr:row>
      <xdr:rowOff>127000</xdr:rowOff>
    </xdr:to>
    <xdr:graphicFrame macro="">
      <xdr:nvGraphicFramePr>
        <xdr:cNvPr id="6" name="Chart 5">
          <a:extLst>
            <a:ext uri="{FF2B5EF4-FFF2-40B4-BE49-F238E27FC236}">
              <a16:creationId xmlns:a16="http://schemas.microsoft.com/office/drawing/2014/main" id="{F9769FF0-966B-4D64-8A28-0572C3DDE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3</xdr:row>
      <xdr:rowOff>7620</xdr:rowOff>
    </xdr:from>
    <xdr:to>
      <xdr:col>2</xdr:col>
      <xdr:colOff>38100</xdr:colOff>
      <xdr:row>9</xdr:row>
      <xdr:rowOff>127000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80E04AE9-3D78-4F3F-A889-8ABFE53B18B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620" y="556260"/>
              <a:ext cx="124968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10</xdr:row>
      <xdr:rowOff>30481</xdr:rowOff>
    </xdr:from>
    <xdr:to>
      <xdr:col>2</xdr:col>
      <xdr:colOff>29307</xdr:colOff>
      <xdr:row>19</xdr:row>
      <xdr:rowOff>58616</xdr:rowOff>
    </xdr:to>
    <mc:AlternateContent xmlns:mc="http://schemas.openxmlformats.org/markup-compatibility/2006" xmlns:a14="http://schemas.microsoft.com/office/drawing/2010/main">
      <mc:Choice Requires="a14">
        <xdr:graphicFrame macro="">
          <xdr:nvGraphicFramePr>
            <xdr:cNvPr id="2" name="Product line 1">
              <a:extLst>
                <a:ext uri="{FF2B5EF4-FFF2-40B4-BE49-F238E27FC236}">
                  <a16:creationId xmlns:a16="http://schemas.microsoft.com/office/drawing/2014/main" id="{DF741267-D075-4A04-B6ED-B0F552EAA794}"/>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7620" y="1859281"/>
              <a:ext cx="1234440" cy="168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464820</xdr:colOff>
      <xdr:row>16</xdr:row>
      <xdr:rowOff>160020</xdr:rowOff>
    </xdr:from>
    <xdr:to>
      <xdr:col>22</xdr:col>
      <xdr:colOff>495300</xdr:colOff>
      <xdr:row>26</xdr:row>
      <xdr:rowOff>97692</xdr:rowOff>
    </xdr:to>
    <xdr:graphicFrame macro="">
      <xdr:nvGraphicFramePr>
        <xdr:cNvPr id="26" name="Chart 25">
          <a:extLst>
            <a:ext uri="{FF2B5EF4-FFF2-40B4-BE49-F238E27FC236}">
              <a16:creationId xmlns:a16="http://schemas.microsoft.com/office/drawing/2014/main" id="{495D3856-75CF-43C7-90F0-89BDDDC48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152400</xdr:colOff>
      <xdr:row>3</xdr:row>
      <xdr:rowOff>38100</xdr:rowOff>
    </xdr:from>
    <xdr:to>
      <xdr:col>6</xdr:col>
      <xdr:colOff>182880</xdr:colOff>
      <xdr:row>6</xdr:row>
      <xdr:rowOff>38100</xdr:rowOff>
    </xdr:to>
    <xdr:sp macro="" textlink="">
      <xdr:nvSpPr>
        <xdr:cNvPr id="8" name="TextBox 7">
          <a:extLst>
            <a:ext uri="{FF2B5EF4-FFF2-40B4-BE49-F238E27FC236}">
              <a16:creationId xmlns:a16="http://schemas.microsoft.com/office/drawing/2014/main" id="{7DB536B8-2DFD-45A9-3E4A-101AD9CD2E3F}"/>
            </a:ext>
          </a:extLst>
        </xdr:cNvPr>
        <xdr:cNvSpPr txBox="1"/>
      </xdr:nvSpPr>
      <xdr:spPr>
        <a:xfrm>
          <a:off x="1371600" y="586740"/>
          <a:ext cx="2468880" cy="5486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latin typeface="Calibri" panose="020F0502020204030204" pitchFamily="34" charset="0"/>
              <a:ea typeface="Calibri" panose="020F0502020204030204" pitchFamily="34" charset="0"/>
              <a:cs typeface="Calibri" panose="020F0502020204030204" pitchFamily="34" charset="0"/>
            </a:rPr>
            <a:t>Total Sales</a:t>
          </a:r>
        </a:p>
        <a:p>
          <a:endParaRPr lang="en-US" sz="1100">
            <a:effectLst>
              <a:glow rad="63500">
                <a:schemeClr val="accent1">
                  <a:satMod val="175000"/>
                  <a:alpha val="40000"/>
                </a:schemeClr>
              </a:glow>
            </a:effectLst>
          </a:endParaRPr>
        </a:p>
        <a:p>
          <a:endParaRPr lang="en-US" sz="1100"/>
        </a:p>
      </xdr:txBody>
    </xdr:sp>
    <xdr:clientData/>
  </xdr:twoCellAnchor>
  <xdr:twoCellAnchor>
    <xdr:from>
      <xdr:col>3</xdr:col>
      <xdr:colOff>297180</xdr:colOff>
      <xdr:row>4</xdr:row>
      <xdr:rowOff>106680</xdr:rowOff>
    </xdr:from>
    <xdr:to>
      <xdr:col>5</xdr:col>
      <xdr:colOff>236220</xdr:colOff>
      <xdr:row>5</xdr:row>
      <xdr:rowOff>175260</xdr:rowOff>
    </xdr:to>
    <xdr:sp macro="" textlink="Sheet7!C12">
      <xdr:nvSpPr>
        <xdr:cNvPr id="17" name="TextBox 16">
          <a:extLst>
            <a:ext uri="{FF2B5EF4-FFF2-40B4-BE49-F238E27FC236}">
              <a16:creationId xmlns:a16="http://schemas.microsoft.com/office/drawing/2014/main" id="{AAAE826D-D85F-9B42-F37D-83320F8BFF34}"/>
            </a:ext>
          </a:extLst>
        </xdr:cNvPr>
        <xdr:cNvSpPr txBox="1"/>
      </xdr:nvSpPr>
      <xdr:spPr>
        <a:xfrm>
          <a:off x="2125980" y="838200"/>
          <a:ext cx="11582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Aptos Narrow"/>
            </a:rPr>
            <a:t>     </a:t>
          </a:r>
          <a:fld id="{0FDA73AF-10AE-4288-BF82-39C3A94572DA}" type="TxLink">
            <a:rPr lang="en-US" sz="1600" b="0" i="0" u="none" strike="noStrike">
              <a:solidFill>
                <a:srgbClr val="000000"/>
              </a:solidFill>
              <a:latin typeface="Aptos Narrow"/>
            </a:rPr>
            <a:pPr/>
            <a:t>322.97K</a:t>
          </a:fld>
          <a:endParaRPr lang="en-US" sz="1600"/>
        </a:p>
      </xdr:txBody>
    </xdr:sp>
    <xdr:clientData/>
  </xdr:twoCellAnchor>
  <xdr:twoCellAnchor>
    <xdr:from>
      <xdr:col>6</xdr:col>
      <xdr:colOff>251460</xdr:colOff>
      <xdr:row>3</xdr:row>
      <xdr:rowOff>45720</xdr:rowOff>
    </xdr:from>
    <xdr:to>
      <xdr:col>10</xdr:col>
      <xdr:colOff>281940</xdr:colOff>
      <xdr:row>6</xdr:row>
      <xdr:rowOff>45720</xdr:rowOff>
    </xdr:to>
    <xdr:sp macro="" textlink="">
      <xdr:nvSpPr>
        <xdr:cNvPr id="18" name="TextBox 17">
          <a:extLst>
            <a:ext uri="{FF2B5EF4-FFF2-40B4-BE49-F238E27FC236}">
              <a16:creationId xmlns:a16="http://schemas.microsoft.com/office/drawing/2014/main" id="{277D1F6F-16AF-934F-1E9F-55688C57A86D}"/>
            </a:ext>
          </a:extLst>
        </xdr:cNvPr>
        <xdr:cNvSpPr txBox="1"/>
      </xdr:nvSpPr>
      <xdr:spPr>
        <a:xfrm>
          <a:off x="3909060" y="594360"/>
          <a:ext cx="2468880" cy="5486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              Quantity sold MVF</a:t>
          </a:r>
        </a:p>
      </xdr:txBody>
    </xdr:sp>
    <xdr:clientData/>
  </xdr:twoCellAnchor>
  <xdr:twoCellAnchor>
    <xdr:from>
      <xdr:col>7</xdr:col>
      <xdr:colOff>335280</xdr:colOff>
      <xdr:row>4</xdr:row>
      <xdr:rowOff>114300</xdr:rowOff>
    </xdr:from>
    <xdr:to>
      <xdr:col>9</xdr:col>
      <xdr:colOff>411480</xdr:colOff>
      <xdr:row>6</xdr:row>
      <xdr:rowOff>15240</xdr:rowOff>
    </xdr:to>
    <xdr:sp macro="" textlink="Sheet3!C9">
      <xdr:nvSpPr>
        <xdr:cNvPr id="19" name="TextBox 18">
          <a:extLst>
            <a:ext uri="{FF2B5EF4-FFF2-40B4-BE49-F238E27FC236}">
              <a16:creationId xmlns:a16="http://schemas.microsoft.com/office/drawing/2014/main" id="{9735DF70-3D3E-ACE1-A78B-357FDE7134B8}"/>
            </a:ext>
          </a:extLst>
        </xdr:cNvPr>
        <xdr:cNvSpPr txBox="1"/>
      </xdr:nvSpPr>
      <xdr:spPr>
        <a:xfrm>
          <a:off x="4602480" y="845820"/>
          <a:ext cx="1295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Aptos Narrow"/>
            </a:rPr>
            <a:t>          </a:t>
          </a:r>
          <a:fld id="{3A09CB70-6031-4BBB-B5D8-9274C5687B21}" type="TxLink">
            <a:rPr lang="en-US" sz="1600" b="0" i="0" u="none" strike="noStrike">
              <a:solidFill>
                <a:srgbClr val="000000"/>
              </a:solidFill>
              <a:latin typeface="Aptos Narrow"/>
            </a:rPr>
            <a:pPr/>
            <a:t>5.5K</a:t>
          </a:fld>
          <a:endParaRPr lang="en-US" sz="1600"/>
        </a:p>
      </xdr:txBody>
    </xdr:sp>
    <xdr:clientData/>
  </xdr:twoCellAnchor>
  <xdr:twoCellAnchor>
    <xdr:from>
      <xdr:col>10</xdr:col>
      <xdr:colOff>373380</xdr:colOff>
      <xdr:row>3</xdr:row>
      <xdr:rowOff>45720</xdr:rowOff>
    </xdr:from>
    <xdr:to>
      <xdr:col>14</xdr:col>
      <xdr:colOff>403860</xdr:colOff>
      <xdr:row>6</xdr:row>
      <xdr:rowOff>45720</xdr:rowOff>
    </xdr:to>
    <xdr:sp macro="" textlink="">
      <xdr:nvSpPr>
        <xdr:cNvPr id="21" name="TextBox 20">
          <a:extLst>
            <a:ext uri="{FF2B5EF4-FFF2-40B4-BE49-F238E27FC236}">
              <a16:creationId xmlns:a16="http://schemas.microsoft.com/office/drawing/2014/main" id="{A65659B2-8829-4931-89F5-9E79484B5886}"/>
            </a:ext>
          </a:extLst>
        </xdr:cNvPr>
        <xdr:cNvSpPr txBox="1"/>
      </xdr:nvSpPr>
      <xdr:spPr>
        <a:xfrm>
          <a:off x="6469380" y="594360"/>
          <a:ext cx="2468880" cy="5486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             Gross Income</a:t>
          </a:r>
        </a:p>
      </xdr:txBody>
    </xdr:sp>
    <xdr:clientData/>
  </xdr:twoCellAnchor>
  <xdr:twoCellAnchor>
    <xdr:from>
      <xdr:col>14</xdr:col>
      <xdr:colOff>487680</xdr:colOff>
      <xdr:row>3</xdr:row>
      <xdr:rowOff>45720</xdr:rowOff>
    </xdr:from>
    <xdr:to>
      <xdr:col>18</xdr:col>
      <xdr:colOff>518160</xdr:colOff>
      <xdr:row>6</xdr:row>
      <xdr:rowOff>45720</xdr:rowOff>
    </xdr:to>
    <xdr:sp macro="" textlink="">
      <xdr:nvSpPr>
        <xdr:cNvPr id="23" name="TextBox 22">
          <a:extLst>
            <a:ext uri="{FF2B5EF4-FFF2-40B4-BE49-F238E27FC236}">
              <a16:creationId xmlns:a16="http://schemas.microsoft.com/office/drawing/2014/main" id="{16B3C10D-1E37-9486-81E0-6D2A00F8B65D}"/>
            </a:ext>
          </a:extLst>
        </xdr:cNvPr>
        <xdr:cNvSpPr txBox="1"/>
      </xdr:nvSpPr>
      <xdr:spPr>
        <a:xfrm>
          <a:off x="9022080" y="594360"/>
          <a:ext cx="2468880" cy="5486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ea typeface="Calibri" panose="020F0502020204030204" pitchFamily="34" charset="0"/>
              <a:cs typeface="Calibri" panose="020F0502020204030204" pitchFamily="34" charset="0"/>
            </a:rPr>
            <a:t>             Top City</a:t>
          </a:r>
        </a:p>
      </xdr:txBody>
    </xdr:sp>
    <xdr:clientData/>
  </xdr:twoCellAnchor>
  <xdr:twoCellAnchor>
    <xdr:from>
      <xdr:col>11</xdr:col>
      <xdr:colOff>457200</xdr:colOff>
      <xdr:row>4</xdr:row>
      <xdr:rowOff>99060</xdr:rowOff>
    </xdr:from>
    <xdr:to>
      <xdr:col>13</xdr:col>
      <xdr:colOff>228600</xdr:colOff>
      <xdr:row>6</xdr:row>
      <xdr:rowOff>15240</xdr:rowOff>
    </xdr:to>
    <xdr:sp macro="" textlink="Sheet9!C13">
      <xdr:nvSpPr>
        <xdr:cNvPr id="24" name="TextBox 23">
          <a:extLst>
            <a:ext uri="{FF2B5EF4-FFF2-40B4-BE49-F238E27FC236}">
              <a16:creationId xmlns:a16="http://schemas.microsoft.com/office/drawing/2014/main" id="{F593D3A2-2A88-C53B-7D4F-6CE5766F6278}"/>
            </a:ext>
          </a:extLst>
        </xdr:cNvPr>
        <xdr:cNvSpPr txBox="1"/>
      </xdr:nvSpPr>
      <xdr:spPr>
        <a:xfrm>
          <a:off x="7162800" y="830580"/>
          <a:ext cx="9906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Aptos Narrow"/>
            </a:rPr>
            <a:t>   </a:t>
          </a:r>
          <a:fld id="{C79351AA-BF80-4383-909D-EEB1A69FD8C2}" type="TxLink">
            <a:rPr lang="en-US" sz="1600" b="0" i="0" u="none" strike="noStrike">
              <a:solidFill>
                <a:srgbClr val="000000"/>
              </a:solidFill>
              <a:latin typeface="Aptos Narrow"/>
            </a:rPr>
            <a:pPr/>
            <a:t>15.4K</a:t>
          </a:fld>
          <a:endParaRPr lang="en-US" sz="1600"/>
        </a:p>
      </xdr:txBody>
    </xdr:sp>
    <xdr:clientData/>
  </xdr:twoCellAnchor>
  <xdr:twoCellAnchor>
    <xdr:from>
      <xdr:col>18</xdr:col>
      <xdr:colOff>594360</xdr:colOff>
      <xdr:row>3</xdr:row>
      <xdr:rowOff>45720</xdr:rowOff>
    </xdr:from>
    <xdr:to>
      <xdr:col>22</xdr:col>
      <xdr:colOff>563880</xdr:colOff>
      <xdr:row>6</xdr:row>
      <xdr:rowOff>45720</xdr:rowOff>
    </xdr:to>
    <xdr:sp macro="" textlink="">
      <xdr:nvSpPr>
        <xdr:cNvPr id="25" name="TextBox 24">
          <a:extLst>
            <a:ext uri="{FF2B5EF4-FFF2-40B4-BE49-F238E27FC236}">
              <a16:creationId xmlns:a16="http://schemas.microsoft.com/office/drawing/2014/main" id="{00EE919D-1122-DBD5-B5CC-02DE3C700934}"/>
            </a:ext>
          </a:extLst>
        </xdr:cNvPr>
        <xdr:cNvSpPr txBox="1"/>
      </xdr:nvSpPr>
      <xdr:spPr>
        <a:xfrm>
          <a:off x="11567160" y="594360"/>
          <a:ext cx="2407920" cy="54864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t>Top Month Sales</a:t>
          </a:r>
        </a:p>
      </xdr:txBody>
    </xdr:sp>
    <xdr:clientData/>
  </xdr:twoCellAnchor>
  <xdr:twoCellAnchor editAs="oneCell">
    <xdr:from>
      <xdr:col>0</xdr:col>
      <xdr:colOff>0</xdr:colOff>
      <xdr:row>19</xdr:row>
      <xdr:rowOff>175846</xdr:rowOff>
    </xdr:from>
    <xdr:to>
      <xdr:col>2</xdr:col>
      <xdr:colOff>30480</xdr:colOff>
      <xdr:row>26</xdr:row>
      <xdr:rowOff>97692</xdr:rowOff>
    </xdr:to>
    <mc:AlternateContent xmlns:mc="http://schemas.openxmlformats.org/markup-compatibility/2006">
      <mc:Choice xmlns:a14="http://schemas.microsoft.com/office/drawing/2010/main" Requires="a14">
        <xdr:graphicFrame macro="">
          <xdr:nvGraphicFramePr>
            <xdr:cNvPr id="31" name="Customer type 2">
              <a:extLst>
                <a:ext uri="{FF2B5EF4-FFF2-40B4-BE49-F238E27FC236}">
                  <a16:creationId xmlns:a16="http://schemas.microsoft.com/office/drawing/2014/main" id="{909DA3BC-057D-408C-8729-A798038A9B05}"/>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dr:sp macro="" textlink="">
          <xdr:nvSpPr>
            <xdr:cNvPr id="0" name=""/>
            <xdr:cNvSpPr>
              <a:spLocks noTextEdit="1"/>
            </xdr:cNvSpPr>
          </xdr:nvSpPr>
          <xdr:spPr>
            <a:xfrm>
              <a:off x="0" y="3702538"/>
              <a:ext cx="1241865" cy="1221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434340</xdr:colOff>
      <xdr:row>4</xdr:row>
      <xdr:rowOff>114300</xdr:rowOff>
    </xdr:from>
    <xdr:to>
      <xdr:col>17</xdr:col>
      <xdr:colOff>434340</xdr:colOff>
      <xdr:row>6</xdr:row>
      <xdr:rowOff>30480</xdr:rowOff>
    </xdr:to>
    <xdr:sp macro="" textlink="Sheet2!B9">
      <xdr:nvSpPr>
        <xdr:cNvPr id="33" name="TextBox 32">
          <a:extLst>
            <a:ext uri="{FF2B5EF4-FFF2-40B4-BE49-F238E27FC236}">
              <a16:creationId xmlns:a16="http://schemas.microsoft.com/office/drawing/2014/main" id="{9B56815C-548C-469B-4A59-F74A491A1DFE}"/>
            </a:ext>
          </a:extLst>
        </xdr:cNvPr>
        <xdr:cNvSpPr txBox="1"/>
      </xdr:nvSpPr>
      <xdr:spPr>
        <a:xfrm>
          <a:off x="9578340" y="845820"/>
          <a:ext cx="12192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Aptos Narrow"/>
            </a:rPr>
            <a:t>    </a:t>
          </a:r>
          <a:fld id="{5F38AD78-BCA4-4398-94AA-236C8F78418F}" type="TxLink">
            <a:rPr lang="en-US" sz="1600" b="0" i="0" u="none" strike="noStrike">
              <a:solidFill>
                <a:srgbClr val="000000"/>
              </a:solidFill>
              <a:latin typeface="Aptos Narrow"/>
            </a:rPr>
            <a:pPr/>
            <a:t>Yangon</a:t>
          </a:fld>
          <a:endParaRPr lang="en-US" sz="1600"/>
        </a:p>
      </xdr:txBody>
    </xdr:sp>
    <xdr:clientData/>
  </xdr:twoCellAnchor>
  <xdr:twoCellAnchor>
    <xdr:from>
      <xdr:col>20</xdr:col>
      <xdr:colOff>68580</xdr:colOff>
      <xdr:row>4</xdr:row>
      <xdr:rowOff>121920</xdr:rowOff>
    </xdr:from>
    <xdr:to>
      <xdr:col>21</xdr:col>
      <xdr:colOff>381000</xdr:colOff>
      <xdr:row>6</xdr:row>
      <xdr:rowOff>38100</xdr:rowOff>
    </xdr:to>
    <xdr:sp macro="" textlink="Sheet8!C11">
      <xdr:nvSpPr>
        <xdr:cNvPr id="36" name="TextBox 35">
          <a:extLst>
            <a:ext uri="{FF2B5EF4-FFF2-40B4-BE49-F238E27FC236}">
              <a16:creationId xmlns:a16="http://schemas.microsoft.com/office/drawing/2014/main" id="{111F1648-2419-3271-F944-3E8890BFFABC}"/>
            </a:ext>
          </a:extLst>
        </xdr:cNvPr>
        <xdr:cNvSpPr txBox="1"/>
      </xdr:nvSpPr>
      <xdr:spPr>
        <a:xfrm>
          <a:off x="12260580" y="853440"/>
          <a:ext cx="9220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Aptos Narrow"/>
            </a:rPr>
            <a:t>     </a:t>
          </a:r>
          <a:fld id="{A7BF8329-7405-4D35-BF5F-356D4598708D}" type="TxLink">
            <a:rPr lang="en-US" sz="1600" b="0" i="0" u="none" strike="noStrike">
              <a:solidFill>
                <a:srgbClr val="000000"/>
              </a:solidFill>
              <a:latin typeface="Aptos Narrow"/>
            </a:rPr>
            <a:pPr/>
            <a:t>Jan</a:t>
          </a:fld>
          <a:endParaRPr lang="en-US" sz="1600"/>
        </a:p>
      </xdr:txBody>
    </xdr:sp>
    <xdr:clientData/>
  </xdr:twoCellAnchor>
  <xdr:twoCellAnchor editAs="oneCell">
    <xdr:from>
      <xdr:col>14</xdr:col>
      <xdr:colOff>470351</xdr:colOff>
      <xdr:row>3</xdr:row>
      <xdr:rowOff>83821</xdr:rowOff>
    </xdr:from>
    <xdr:to>
      <xdr:col>15</xdr:col>
      <xdr:colOff>340811</xdr:colOff>
      <xdr:row>6</xdr:row>
      <xdr:rowOff>15241</xdr:rowOff>
    </xdr:to>
    <xdr:pic>
      <xdr:nvPicPr>
        <xdr:cNvPr id="38" name="Picture 37">
          <a:extLst>
            <a:ext uri="{FF2B5EF4-FFF2-40B4-BE49-F238E27FC236}">
              <a16:creationId xmlns:a16="http://schemas.microsoft.com/office/drawing/2014/main" id="{B8DFBDED-1ECB-13EC-72D4-9C38535555C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04751" y="632461"/>
          <a:ext cx="480060" cy="480060"/>
        </a:xfrm>
        <a:prstGeom prst="rect">
          <a:avLst/>
        </a:prstGeom>
      </xdr:spPr>
    </xdr:pic>
    <xdr:clientData/>
  </xdr:twoCellAnchor>
  <xdr:twoCellAnchor editAs="oneCell">
    <xdr:from>
      <xdr:col>18</xdr:col>
      <xdr:colOff>601980</xdr:colOff>
      <xdr:row>3</xdr:row>
      <xdr:rowOff>22860</xdr:rowOff>
    </xdr:from>
    <xdr:to>
      <xdr:col>19</xdr:col>
      <xdr:colOff>556941</xdr:colOff>
      <xdr:row>6</xdr:row>
      <xdr:rowOff>38781</xdr:rowOff>
    </xdr:to>
    <xdr:pic>
      <xdr:nvPicPr>
        <xdr:cNvPr id="40" name="Picture 39">
          <a:extLst>
            <a:ext uri="{FF2B5EF4-FFF2-40B4-BE49-F238E27FC236}">
              <a16:creationId xmlns:a16="http://schemas.microsoft.com/office/drawing/2014/main" id="{D103D986-7420-7D61-AF9A-D26A957741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574780" y="571500"/>
          <a:ext cx="564561" cy="564561"/>
        </a:xfrm>
        <a:prstGeom prst="rect">
          <a:avLst/>
        </a:prstGeom>
      </xdr:spPr>
    </xdr:pic>
    <xdr:clientData/>
  </xdr:twoCellAnchor>
  <xdr:twoCellAnchor editAs="oneCell">
    <xdr:from>
      <xdr:col>6</xdr:col>
      <xdr:colOff>274320</xdr:colOff>
      <xdr:row>3</xdr:row>
      <xdr:rowOff>99060</xdr:rowOff>
    </xdr:from>
    <xdr:to>
      <xdr:col>7</xdr:col>
      <xdr:colOff>130221</xdr:colOff>
      <xdr:row>6</xdr:row>
      <xdr:rowOff>15921</xdr:rowOff>
    </xdr:to>
    <xdr:pic>
      <xdr:nvPicPr>
        <xdr:cNvPr id="42" name="Picture 41">
          <a:extLst>
            <a:ext uri="{FF2B5EF4-FFF2-40B4-BE49-F238E27FC236}">
              <a16:creationId xmlns:a16="http://schemas.microsoft.com/office/drawing/2014/main" id="{53BF9605-A7F4-17FB-075F-E4C310154E3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31920" y="647700"/>
          <a:ext cx="465501" cy="465501"/>
        </a:xfrm>
        <a:prstGeom prst="rect">
          <a:avLst/>
        </a:prstGeom>
      </xdr:spPr>
    </xdr:pic>
    <xdr:clientData/>
  </xdr:twoCellAnchor>
  <xdr:twoCellAnchor editAs="oneCell">
    <xdr:from>
      <xdr:col>10</xdr:col>
      <xdr:colOff>365760</xdr:colOff>
      <xdr:row>3</xdr:row>
      <xdr:rowOff>75590</xdr:rowOff>
    </xdr:from>
    <xdr:to>
      <xdr:col>11</xdr:col>
      <xdr:colOff>236220</xdr:colOff>
      <xdr:row>6</xdr:row>
      <xdr:rowOff>7010</xdr:rowOff>
    </xdr:to>
    <xdr:pic>
      <xdr:nvPicPr>
        <xdr:cNvPr id="44" name="Picture 43">
          <a:extLst>
            <a:ext uri="{FF2B5EF4-FFF2-40B4-BE49-F238E27FC236}">
              <a16:creationId xmlns:a16="http://schemas.microsoft.com/office/drawing/2014/main" id="{D060A8BE-7B43-72CB-6745-5CFAEFCBF27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461760" y="624230"/>
          <a:ext cx="480060" cy="480060"/>
        </a:xfrm>
        <a:prstGeom prst="rect">
          <a:avLst/>
        </a:prstGeom>
      </xdr:spPr>
    </xdr:pic>
    <xdr:clientData/>
  </xdr:twoCellAnchor>
  <xdr:twoCellAnchor editAs="oneCell">
    <xdr:from>
      <xdr:col>2</xdr:col>
      <xdr:colOff>198120</xdr:colOff>
      <xdr:row>3</xdr:row>
      <xdr:rowOff>83820</xdr:rowOff>
    </xdr:from>
    <xdr:to>
      <xdr:col>3</xdr:col>
      <xdr:colOff>76200</xdr:colOff>
      <xdr:row>6</xdr:row>
      <xdr:rowOff>22860</xdr:rowOff>
    </xdr:to>
    <xdr:pic>
      <xdr:nvPicPr>
        <xdr:cNvPr id="46" name="Picture 45">
          <a:extLst>
            <a:ext uri="{FF2B5EF4-FFF2-40B4-BE49-F238E27FC236}">
              <a16:creationId xmlns:a16="http://schemas.microsoft.com/office/drawing/2014/main" id="{BE0BF6F3-3556-A461-261A-F4BE81EA6A2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17320" y="632460"/>
          <a:ext cx="487680" cy="487680"/>
        </a:xfrm>
        <a:prstGeom prst="rect">
          <a:avLst/>
        </a:prstGeom>
      </xdr:spPr>
    </xdr:pic>
    <xdr:clientData/>
  </xdr:twoCellAnchor>
  <xdr:twoCellAnchor editAs="oneCell">
    <xdr:from>
      <xdr:col>0</xdr:col>
      <xdr:colOff>15240</xdr:colOff>
      <xdr:row>0</xdr:row>
      <xdr:rowOff>0</xdr:rowOff>
    </xdr:from>
    <xdr:to>
      <xdr:col>2</xdr:col>
      <xdr:colOff>419100</xdr:colOff>
      <xdr:row>2</xdr:row>
      <xdr:rowOff>167640</xdr:rowOff>
    </xdr:to>
    <xdr:pic>
      <xdr:nvPicPr>
        <xdr:cNvPr id="48" name="Picture 47">
          <a:extLst>
            <a:ext uri="{FF2B5EF4-FFF2-40B4-BE49-F238E27FC236}">
              <a16:creationId xmlns:a16="http://schemas.microsoft.com/office/drawing/2014/main" id="{76D5F812-6CC3-9875-7F31-E7E4054502B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240" y="0"/>
          <a:ext cx="1623060" cy="533400"/>
        </a:xfrm>
        <a:prstGeom prst="rect">
          <a:avLst/>
        </a:prstGeom>
      </xdr:spPr>
    </xdr:pic>
    <xdr:clientData/>
  </xdr:twoCellAnchor>
  <xdr:twoCellAnchor>
    <xdr:from>
      <xdr:col>8</xdr:col>
      <xdr:colOff>582930</xdr:colOff>
      <xdr:row>16</xdr:row>
      <xdr:rowOff>175260</xdr:rowOff>
    </xdr:from>
    <xdr:to>
      <xdr:col>15</xdr:col>
      <xdr:colOff>339090</xdr:colOff>
      <xdr:row>26</xdr:row>
      <xdr:rowOff>107462</xdr:rowOff>
    </xdr:to>
    <xdr:graphicFrame macro="">
      <xdr:nvGraphicFramePr>
        <xdr:cNvPr id="11" name="Chart 10">
          <a:extLst>
            <a:ext uri="{FF2B5EF4-FFF2-40B4-BE49-F238E27FC236}">
              <a16:creationId xmlns:a16="http://schemas.microsoft.com/office/drawing/2014/main" id="{7F9EE52B-5AFA-44DC-B5B0-1142DE29F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205740</xdr:colOff>
      <xdr:row>16</xdr:row>
      <xdr:rowOff>144780</xdr:rowOff>
    </xdr:from>
    <xdr:to>
      <xdr:col>13</xdr:col>
      <xdr:colOff>83820</xdr:colOff>
      <xdr:row>18</xdr:row>
      <xdr:rowOff>129540</xdr:rowOff>
    </xdr:to>
    <xdr:sp macro="" textlink="">
      <xdr:nvSpPr>
        <xdr:cNvPr id="13" name="TextBox 12">
          <a:extLst>
            <a:ext uri="{FF2B5EF4-FFF2-40B4-BE49-F238E27FC236}">
              <a16:creationId xmlns:a16="http://schemas.microsoft.com/office/drawing/2014/main" id="{1BEF05AE-2A80-A74D-04CB-85CC78027D43}"/>
            </a:ext>
          </a:extLst>
        </xdr:cNvPr>
        <xdr:cNvSpPr txBox="1"/>
      </xdr:nvSpPr>
      <xdr:spPr>
        <a:xfrm>
          <a:off x="6911340" y="3070860"/>
          <a:ext cx="10972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   Sales By City</a:t>
          </a:r>
        </a:p>
      </xdr:txBody>
    </xdr:sp>
    <xdr:clientData/>
  </xdr:twoCellAnchor>
  <xdr:twoCellAnchor>
    <xdr:from>
      <xdr:col>18</xdr:col>
      <xdr:colOff>220980</xdr:colOff>
      <xdr:row>6</xdr:row>
      <xdr:rowOff>129540</xdr:rowOff>
    </xdr:from>
    <xdr:to>
      <xdr:col>22</xdr:col>
      <xdr:colOff>533400</xdr:colOff>
      <xdr:row>16</xdr:row>
      <xdr:rowOff>0</xdr:rowOff>
    </xdr:to>
    <xdr:graphicFrame macro="">
      <xdr:nvGraphicFramePr>
        <xdr:cNvPr id="14" name="Chart 13">
          <a:extLst>
            <a:ext uri="{FF2B5EF4-FFF2-40B4-BE49-F238E27FC236}">
              <a16:creationId xmlns:a16="http://schemas.microsoft.com/office/drawing/2014/main" id="{64D92D44-8C42-44A5-AF25-07C8B4ADA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0.55048</cdr:x>
      <cdr:y>0.16379</cdr:y>
    </cdr:from>
    <cdr:to>
      <cdr:x>0.98798</cdr:x>
      <cdr:y>0.28017</cdr:y>
    </cdr:to>
    <cdr:sp macro="" textlink="">
      <cdr:nvSpPr>
        <cdr:cNvPr id="2" name="TextBox 1">
          <a:extLst xmlns:a="http://schemas.openxmlformats.org/drawingml/2006/main">
            <a:ext uri="{FF2B5EF4-FFF2-40B4-BE49-F238E27FC236}">
              <a16:creationId xmlns:a16="http://schemas.microsoft.com/office/drawing/2014/main" id="{47E2D351-E876-B5FE-D7B9-47B20E57F4FC}"/>
            </a:ext>
          </a:extLst>
        </cdr:cNvPr>
        <cdr:cNvSpPr txBox="1"/>
      </cdr:nvSpPr>
      <cdr:spPr>
        <a:xfrm xmlns:a="http://schemas.openxmlformats.org/drawingml/2006/main">
          <a:off x="1744980" y="289560"/>
          <a:ext cx="1386840" cy="2057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0.50962</cdr:x>
      <cdr:y>0.06897</cdr:y>
    </cdr:from>
    <cdr:to>
      <cdr:x>0.99038</cdr:x>
      <cdr:y>0.25862</cdr:y>
    </cdr:to>
    <cdr:sp macro="" textlink="">
      <cdr:nvSpPr>
        <cdr:cNvPr id="3" name="TextBox 2">
          <a:extLst xmlns:a="http://schemas.openxmlformats.org/drawingml/2006/main">
            <a:ext uri="{FF2B5EF4-FFF2-40B4-BE49-F238E27FC236}">
              <a16:creationId xmlns:a16="http://schemas.microsoft.com/office/drawing/2014/main" id="{F263727C-A733-2296-3254-4B6CC1F06EC2}"/>
            </a:ext>
          </a:extLst>
        </cdr:cNvPr>
        <cdr:cNvSpPr txBox="1"/>
      </cdr:nvSpPr>
      <cdr:spPr>
        <a:xfrm xmlns:a="http://schemas.openxmlformats.org/drawingml/2006/main">
          <a:off x="1615440" y="121920"/>
          <a:ext cx="152400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a:p>
      </cdr:txBody>
    </cdr:sp>
  </cdr:relSizeAnchor>
</c:userShapes>
</file>

<file path=xl/drawings/drawing6.xml><?xml version="1.0" encoding="utf-8"?>
<c:userShapes xmlns:c="http://schemas.openxmlformats.org/drawingml/2006/chart">
  <cdr:relSizeAnchor xmlns:cdr="http://schemas.openxmlformats.org/drawingml/2006/chartDrawing">
    <cdr:from>
      <cdr:x>0.22601</cdr:x>
      <cdr:y>0.0367</cdr:y>
    </cdr:from>
    <cdr:to>
      <cdr:x>0.96904</cdr:x>
      <cdr:y>0.15138</cdr:y>
    </cdr:to>
    <cdr:sp macro="" textlink="">
      <cdr:nvSpPr>
        <cdr:cNvPr id="2" name="TextBox 1">
          <a:extLst xmlns:a="http://schemas.openxmlformats.org/drawingml/2006/main">
            <a:ext uri="{FF2B5EF4-FFF2-40B4-BE49-F238E27FC236}">
              <a16:creationId xmlns:a16="http://schemas.microsoft.com/office/drawing/2014/main" id="{533A768D-CC12-51F5-FB6D-C0304FEC2A4B}"/>
            </a:ext>
          </a:extLst>
        </cdr:cNvPr>
        <cdr:cNvSpPr txBox="1"/>
      </cdr:nvSpPr>
      <cdr:spPr>
        <a:xfrm xmlns:a="http://schemas.openxmlformats.org/drawingml/2006/main">
          <a:off x="556260" y="60960"/>
          <a:ext cx="18288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twoCellAnchor>
    <xdr:from>
      <xdr:col>4</xdr:col>
      <xdr:colOff>853440</xdr:colOff>
      <xdr:row>5</xdr:row>
      <xdr:rowOff>83820</xdr:rowOff>
    </xdr:from>
    <xdr:to>
      <xdr:col>10</xdr:col>
      <xdr:colOff>106680</xdr:colOff>
      <xdr:row>20</xdr:row>
      <xdr:rowOff>83820</xdr:rowOff>
    </xdr:to>
    <xdr:graphicFrame macro="">
      <xdr:nvGraphicFramePr>
        <xdr:cNvPr id="2" name="Chart 1">
          <a:extLst>
            <a:ext uri="{FF2B5EF4-FFF2-40B4-BE49-F238E27FC236}">
              <a16:creationId xmlns:a16="http://schemas.microsoft.com/office/drawing/2014/main" id="{8EC2A526-9DF8-ED90-8A10-7FAE54876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944880</xdr:colOff>
      <xdr:row>1</xdr:row>
      <xdr:rowOff>22860</xdr:rowOff>
    </xdr:from>
    <xdr:to>
      <xdr:col>4</xdr:col>
      <xdr:colOff>502920</xdr:colOff>
      <xdr:row>6</xdr:row>
      <xdr:rowOff>76199</xdr:rowOff>
    </xdr:to>
    <mc:AlternateContent xmlns:mc="http://schemas.openxmlformats.org/markup-compatibility/2006" xmlns:a14="http://schemas.microsoft.com/office/drawing/2010/main">
      <mc:Choice Requires="a14">
        <xdr:graphicFrame macro="">
          <xdr:nvGraphicFramePr>
            <xdr:cNvPr id="3" name="Customer type 1">
              <a:extLst>
                <a:ext uri="{FF2B5EF4-FFF2-40B4-BE49-F238E27FC236}">
                  <a16:creationId xmlns:a16="http://schemas.microsoft.com/office/drawing/2014/main" id="{D06C82FB-2143-D931-D855-BA3C58A0BBD2}"/>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2621280" y="205740"/>
              <a:ext cx="182880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60960</xdr:colOff>
      <xdr:row>6</xdr:row>
      <xdr:rowOff>53340</xdr:rowOff>
    </xdr:from>
    <xdr:to>
      <xdr:col>13</xdr:col>
      <xdr:colOff>365760</xdr:colOff>
      <xdr:row>21</xdr:row>
      <xdr:rowOff>53340</xdr:rowOff>
    </xdr:to>
    <xdr:graphicFrame macro="">
      <xdr:nvGraphicFramePr>
        <xdr:cNvPr id="4" name="Chart 3">
          <a:extLst>
            <a:ext uri="{FF2B5EF4-FFF2-40B4-BE49-F238E27FC236}">
              <a16:creationId xmlns:a16="http://schemas.microsoft.com/office/drawing/2014/main" id="{D9B5976F-6173-3970-557D-418F53E9E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144780</xdr:colOff>
      <xdr:row>6</xdr:row>
      <xdr:rowOff>45720</xdr:rowOff>
    </xdr:from>
    <xdr:to>
      <xdr:col>11</xdr:col>
      <xdr:colOff>449580</xdr:colOff>
      <xdr:row>21</xdr:row>
      <xdr:rowOff>45720</xdr:rowOff>
    </xdr:to>
    <xdr:graphicFrame macro="">
      <xdr:nvGraphicFramePr>
        <xdr:cNvPr id="3" name="Chart 2">
          <a:extLst>
            <a:ext uri="{FF2B5EF4-FFF2-40B4-BE49-F238E27FC236}">
              <a16:creationId xmlns:a16="http://schemas.microsoft.com/office/drawing/2014/main" id="{F5016843-F9DC-E5D1-DC85-9BDB6C9D8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396240</xdr:colOff>
      <xdr:row>6</xdr:row>
      <xdr:rowOff>45720</xdr:rowOff>
    </xdr:from>
    <xdr:to>
      <xdr:col>13</xdr:col>
      <xdr:colOff>91440</xdr:colOff>
      <xdr:row>21</xdr:row>
      <xdr:rowOff>45720</xdr:rowOff>
    </xdr:to>
    <xdr:graphicFrame macro="">
      <xdr:nvGraphicFramePr>
        <xdr:cNvPr id="2" name="Chart 1">
          <a:extLst>
            <a:ext uri="{FF2B5EF4-FFF2-40B4-BE49-F238E27FC236}">
              <a16:creationId xmlns:a16="http://schemas.microsoft.com/office/drawing/2014/main" id="{F5F35712-EAE3-019B-2CFB-E5BAEAB0F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297180</xdr:colOff>
      <xdr:row>5</xdr:row>
      <xdr:rowOff>167640</xdr:rowOff>
    </xdr:from>
    <xdr:to>
      <xdr:col>5</xdr:col>
      <xdr:colOff>297180</xdr:colOff>
      <xdr:row>20</xdr:row>
      <xdr:rowOff>5715</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5950952-B0FC-BE50-CD7E-9970D6D0CDA8}"/>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872740" y="1082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419100</xdr:colOff>
      <xdr:row>6</xdr:row>
      <xdr:rowOff>45720</xdr:rowOff>
    </xdr:from>
    <xdr:to>
      <xdr:col>12</xdr:col>
      <xdr:colOff>114300</xdr:colOff>
      <xdr:row>21</xdr:row>
      <xdr:rowOff>45720</xdr:rowOff>
    </xdr:to>
    <xdr:graphicFrame macro="">
      <xdr:nvGraphicFramePr>
        <xdr:cNvPr id="3" name="Chart 2">
          <a:extLst>
            <a:ext uri="{FF2B5EF4-FFF2-40B4-BE49-F238E27FC236}">
              <a16:creationId xmlns:a16="http://schemas.microsoft.com/office/drawing/2014/main" id="{E3CD9CE8-8FB9-185E-B7B0-3BA1850E4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533400</xdr:colOff>
      <xdr:row>5</xdr:row>
      <xdr:rowOff>80010</xdr:rowOff>
    </xdr:from>
    <xdr:to>
      <xdr:col>14</xdr:col>
      <xdr:colOff>228600</xdr:colOff>
      <xdr:row>20</xdr:row>
      <xdr:rowOff>80010</xdr:rowOff>
    </xdr:to>
    <xdr:graphicFrame macro="">
      <xdr:nvGraphicFramePr>
        <xdr:cNvPr id="3" name="Chart 2">
          <a:extLst>
            <a:ext uri="{FF2B5EF4-FFF2-40B4-BE49-F238E27FC236}">
              <a16:creationId xmlns:a16="http://schemas.microsoft.com/office/drawing/2014/main" id="{2707AA98-CFAD-09AB-8323-6C06DA90C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350520</xdr:colOff>
      <xdr:row>5</xdr:row>
      <xdr:rowOff>83820</xdr:rowOff>
    </xdr:from>
    <xdr:to>
      <xdr:col>11</xdr:col>
      <xdr:colOff>45720</xdr:colOff>
      <xdr:row>20</xdr:row>
      <xdr:rowOff>83820</xdr:rowOff>
    </xdr:to>
    <xdr:graphicFrame macro="">
      <xdr:nvGraphicFramePr>
        <xdr:cNvPr id="3" name="Chart 2">
          <a:extLst>
            <a:ext uri="{FF2B5EF4-FFF2-40B4-BE49-F238E27FC236}">
              <a16:creationId xmlns:a16="http://schemas.microsoft.com/office/drawing/2014/main" id="{4E0151A3-CD42-FF89-A2C6-9C04646DD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6.219214004632" createdVersion="8" refreshedVersion="8" minRefreshableVersion="3" recordCount="1000" xr:uid="{1D9F6FBE-AE32-43C0-9014-9872EACEF64B}">
  <cacheSource type="worksheet">
    <worksheetSource name="Copy_of_supermarket_sales___Sheet1__1"/>
  </cacheSource>
  <cacheFields count="20">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9"/>
    </cacheField>
    <cacheField name="Time" numFmtId="164">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70182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x v="0"/>
    <n v="26.141500000000001"/>
    <n v="548.97149999999999"/>
    <x v="0"/>
    <x v="0"/>
    <x v="0"/>
    <n v="522.83000000000004"/>
    <n v="4.7619047620000003"/>
    <n v="26.141500000000001"/>
    <n v="9.1"/>
  </r>
  <r>
    <s v="226-31-3081"/>
    <x v="1"/>
    <x v="1"/>
    <x v="1"/>
    <x v="0"/>
    <x v="1"/>
    <x v="1"/>
    <x v="1"/>
    <n v="3.82"/>
    <n v="80.22"/>
    <x v="1"/>
    <x v="1"/>
    <x v="1"/>
    <n v="76.400000000000006"/>
    <n v="4.7619047620000003"/>
    <n v="3.82"/>
    <n v="9.6"/>
  </r>
  <r>
    <s v="631-41-3108"/>
    <x v="0"/>
    <x v="0"/>
    <x v="1"/>
    <x v="1"/>
    <x v="2"/>
    <x v="2"/>
    <x v="0"/>
    <n v="16.215499999999999"/>
    <n v="340.52550000000002"/>
    <x v="2"/>
    <x v="2"/>
    <x v="2"/>
    <n v="324.31"/>
    <n v="4.7619047620000003"/>
    <n v="16.215499999999999"/>
    <n v="7.4"/>
  </r>
  <r>
    <s v="123-19-1176"/>
    <x v="0"/>
    <x v="0"/>
    <x v="0"/>
    <x v="1"/>
    <x v="0"/>
    <x v="3"/>
    <x v="2"/>
    <n v="23.288"/>
    <n v="489.048"/>
    <x v="3"/>
    <x v="3"/>
    <x v="0"/>
    <n v="465.76"/>
    <n v="4.7619047620000003"/>
    <n v="23.288"/>
    <n v="8.4"/>
  </r>
  <r>
    <s v="373-73-7910"/>
    <x v="0"/>
    <x v="0"/>
    <x v="1"/>
    <x v="1"/>
    <x v="3"/>
    <x v="4"/>
    <x v="0"/>
    <n v="30.208500000000001"/>
    <n v="634.37850000000003"/>
    <x v="4"/>
    <x v="4"/>
    <x v="0"/>
    <n v="604.16999999999996"/>
    <n v="4.7619047620000003"/>
    <n v="30.208500000000001"/>
    <n v="5.3"/>
  </r>
  <r>
    <s v="699-14-3026"/>
    <x v="1"/>
    <x v="1"/>
    <x v="1"/>
    <x v="1"/>
    <x v="1"/>
    <x v="5"/>
    <x v="0"/>
    <n v="29.886500000000002"/>
    <n v="627.61649999999997"/>
    <x v="5"/>
    <x v="5"/>
    <x v="0"/>
    <n v="597.73"/>
    <n v="4.7619047620000003"/>
    <n v="29.886500000000002"/>
    <n v="4.0999999999999996"/>
  </r>
  <r>
    <s v="355-53-5943"/>
    <x v="0"/>
    <x v="0"/>
    <x v="0"/>
    <x v="0"/>
    <x v="1"/>
    <x v="6"/>
    <x v="3"/>
    <n v="20.652000000000001"/>
    <n v="433.69200000000001"/>
    <x v="6"/>
    <x v="6"/>
    <x v="0"/>
    <n v="413.04"/>
    <n v="4.7619047620000003"/>
    <n v="20.652000000000001"/>
    <n v="5.8"/>
  </r>
  <r>
    <s v="315-22-5665"/>
    <x v="1"/>
    <x v="1"/>
    <x v="1"/>
    <x v="0"/>
    <x v="2"/>
    <x v="7"/>
    <x v="4"/>
    <n v="36.78"/>
    <n v="772.38"/>
    <x v="7"/>
    <x v="7"/>
    <x v="0"/>
    <n v="735.6"/>
    <n v="4.7619047620000003"/>
    <n v="36.78"/>
    <n v="8"/>
  </r>
  <r>
    <s v="665-32-9167"/>
    <x v="0"/>
    <x v="0"/>
    <x v="0"/>
    <x v="0"/>
    <x v="0"/>
    <x v="8"/>
    <x v="5"/>
    <n v="3.6259999999999999"/>
    <n v="76.146000000000001"/>
    <x v="8"/>
    <x v="8"/>
    <x v="2"/>
    <n v="72.52"/>
    <n v="4.7619047620000003"/>
    <n v="3.6259999999999999"/>
    <n v="7.2"/>
  </r>
  <r>
    <s v="692-92-5582"/>
    <x v="2"/>
    <x v="2"/>
    <x v="0"/>
    <x v="0"/>
    <x v="4"/>
    <x v="9"/>
    <x v="6"/>
    <n v="8.2260000000000009"/>
    <n v="172.74600000000001"/>
    <x v="9"/>
    <x v="9"/>
    <x v="2"/>
    <n v="164.52"/>
    <n v="4.7619047620000003"/>
    <n v="8.2260000000000009"/>
    <n v="5.9"/>
  </r>
  <r>
    <s v="351-62-0822"/>
    <x v="2"/>
    <x v="2"/>
    <x v="0"/>
    <x v="0"/>
    <x v="5"/>
    <x v="10"/>
    <x v="7"/>
    <n v="2.8959999999999999"/>
    <n v="60.816000000000003"/>
    <x v="10"/>
    <x v="10"/>
    <x v="0"/>
    <n v="57.92"/>
    <n v="4.7619047620000003"/>
    <n v="2.8959999999999999"/>
    <n v="4.5"/>
  </r>
  <r>
    <s v="529-56-3974"/>
    <x v="2"/>
    <x v="2"/>
    <x v="0"/>
    <x v="1"/>
    <x v="1"/>
    <x v="11"/>
    <x v="7"/>
    <n v="5.1020000000000003"/>
    <n v="107.142"/>
    <x v="11"/>
    <x v="11"/>
    <x v="1"/>
    <n v="102.04"/>
    <n v="4.7619047620000003"/>
    <n v="5.1020000000000003"/>
    <n v="6.8"/>
  </r>
  <r>
    <s v="365-64-0515"/>
    <x v="0"/>
    <x v="0"/>
    <x v="1"/>
    <x v="0"/>
    <x v="1"/>
    <x v="12"/>
    <x v="1"/>
    <n v="11.737500000000001"/>
    <n v="246.48750000000001"/>
    <x v="12"/>
    <x v="12"/>
    <x v="0"/>
    <n v="234.75"/>
    <n v="4.7619047620000003"/>
    <n v="11.737500000000001"/>
    <n v="7.1"/>
  </r>
  <r>
    <s v="252-56-2699"/>
    <x v="0"/>
    <x v="0"/>
    <x v="1"/>
    <x v="1"/>
    <x v="4"/>
    <x v="13"/>
    <x v="4"/>
    <n v="21.594999999999999"/>
    <n v="453.495"/>
    <x v="13"/>
    <x v="13"/>
    <x v="0"/>
    <n v="431.9"/>
    <n v="4.7619047620000003"/>
    <n v="21.594999999999999"/>
    <n v="8.1999999999999993"/>
  </r>
  <r>
    <s v="829-34-3910"/>
    <x v="0"/>
    <x v="0"/>
    <x v="1"/>
    <x v="0"/>
    <x v="0"/>
    <x v="14"/>
    <x v="4"/>
    <n v="35.69"/>
    <n v="749.49"/>
    <x v="14"/>
    <x v="14"/>
    <x v="1"/>
    <n v="713.8"/>
    <n v="4.7619047620000003"/>
    <n v="35.69"/>
    <n v="5.7"/>
  </r>
  <r>
    <s v="299-46-1805"/>
    <x v="2"/>
    <x v="2"/>
    <x v="0"/>
    <x v="0"/>
    <x v="3"/>
    <x v="15"/>
    <x v="3"/>
    <n v="28.116"/>
    <n v="590.43600000000004"/>
    <x v="15"/>
    <x v="15"/>
    <x v="1"/>
    <n v="562.32000000000005"/>
    <n v="4.7619047620000003"/>
    <n v="28.116"/>
    <n v="4.5"/>
  </r>
  <r>
    <s v="656-95-9349"/>
    <x v="0"/>
    <x v="0"/>
    <x v="0"/>
    <x v="0"/>
    <x v="0"/>
    <x v="16"/>
    <x v="0"/>
    <n v="24.125499999999999"/>
    <n v="506.63549999999998"/>
    <x v="16"/>
    <x v="16"/>
    <x v="2"/>
    <n v="482.51"/>
    <n v="4.7619047620000003"/>
    <n v="24.125499999999999"/>
    <n v="4.5999999999999996"/>
  </r>
  <r>
    <s v="765-26-6951"/>
    <x v="0"/>
    <x v="0"/>
    <x v="1"/>
    <x v="1"/>
    <x v="3"/>
    <x v="17"/>
    <x v="3"/>
    <n v="21.783000000000001"/>
    <n v="457.44299999999998"/>
    <x v="17"/>
    <x v="17"/>
    <x v="2"/>
    <n v="435.66"/>
    <n v="4.7619047620000003"/>
    <n v="21.783000000000001"/>
    <n v="6.9"/>
  </r>
  <r>
    <s v="329-62-1586"/>
    <x v="0"/>
    <x v="0"/>
    <x v="1"/>
    <x v="1"/>
    <x v="4"/>
    <x v="18"/>
    <x v="6"/>
    <n v="8.2004999999999999"/>
    <n v="172.2105"/>
    <x v="18"/>
    <x v="18"/>
    <x v="2"/>
    <n v="164.01"/>
    <n v="4.7619047620000003"/>
    <n v="8.2004999999999999"/>
    <n v="8.6"/>
  </r>
  <r>
    <s v="319-50-3348"/>
    <x v="2"/>
    <x v="2"/>
    <x v="1"/>
    <x v="0"/>
    <x v="2"/>
    <x v="19"/>
    <x v="5"/>
    <n v="4.03"/>
    <n v="84.63"/>
    <x v="16"/>
    <x v="19"/>
    <x v="0"/>
    <n v="80.599999999999994"/>
    <n v="4.7619047620000003"/>
    <n v="4.03"/>
    <n v="4.4000000000000004"/>
  </r>
  <r>
    <s v="300-71-4605"/>
    <x v="1"/>
    <x v="1"/>
    <x v="0"/>
    <x v="1"/>
    <x v="1"/>
    <x v="20"/>
    <x v="1"/>
    <n v="21.51"/>
    <n v="451.71"/>
    <x v="6"/>
    <x v="20"/>
    <x v="0"/>
    <n v="430.2"/>
    <n v="4.7619047620000003"/>
    <n v="21.51"/>
    <n v="4.8"/>
  </r>
  <r>
    <s v="371-85-5789"/>
    <x v="2"/>
    <x v="2"/>
    <x v="1"/>
    <x v="1"/>
    <x v="0"/>
    <x v="21"/>
    <x v="6"/>
    <n v="13.196999999999999"/>
    <n v="277.137"/>
    <x v="19"/>
    <x v="21"/>
    <x v="0"/>
    <n v="263.94"/>
    <n v="4.7619047620000003"/>
    <n v="13.196999999999999"/>
    <n v="5.0999999999999996"/>
  </r>
  <r>
    <s v="273-16-6619"/>
    <x v="2"/>
    <x v="2"/>
    <x v="1"/>
    <x v="1"/>
    <x v="2"/>
    <x v="22"/>
    <x v="5"/>
    <n v="3.32"/>
    <n v="69.72"/>
    <x v="20"/>
    <x v="22"/>
    <x v="2"/>
    <n v="66.400000000000006"/>
    <n v="4.7619047620000003"/>
    <n v="3.32"/>
    <n v="4.4000000000000004"/>
  </r>
  <r>
    <s v="636-48-8204"/>
    <x v="0"/>
    <x v="0"/>
    <x v="1"/>
    <x v="1"/>
    <x v="1"/>
    <x v="23"/>
    <x v="1"/>
    <n v="8.64"/>
    <n v="181.44"/>
    <x v="21"/>
    <x v="23"/>
    <x v="0"/>
    <n v="172.8"/>
    <n v="4.7619047620000003"/>
    <n v="8.64"/>
    <n v="9.9"/>
  </r>
  <r>
    <s v="549-59-1358"/>
    <x v="0"/>
    <x v="0"/>
    <x v="0"/>
    <x v="1"/>
    <x v="3"/>
    <x v="24"/>
    <x v="6"/>
    <n v="13.294499999999999"/>
    <n v="279.18450000000001"/>
    <x v="22"/>
    <x v="24"/>
    <x v="0"/>
    <n v="265.89"/>
    <n v="4.7619047620000003"/>
    <n v="13.294499999999999"/>
    <n v="6"/>
  </r>
  <r>
    <s v="227-03-5010"/>
    <x v="0"/>
    <x v="0"/>
    <x v="0"/>
    <x v="0"/>
    <x v="2"/>
    <x v="25"/>
    <x v="2"/>
    <n v="21.036000000000001"/>
    <n v="441.75599999999997"/>
    <x v="23"/>
    <x v="25"/>
    <x v="2"/>
    <n v="420.72"/>
    <n v="4.7619047620000003"/>
    <n v="21.036000000000001"/>
    <n v="8.5"/>
  </r>
  <r>
    <s v="649-29-6775"/>
    <x v="2"/>
    <x v="2"/>
    <x v="1"/>
    <x v="1"/>
    <x v="5"/>
    <x v="26"/>
    <x v="8"/>
    <n v="1.6759999999999999"/>
    <n v="35.195999999999998"/>
    <x v="4"/>
    <x v="26"/>
    <x v="1"/>
    <n v="33.520000000000003"/>
    <n v="4.7619047620000003"/>
    <n v="1.6759999999999999"/>
    <n v="6.7"/>
  </r>
  <r>
    <s v="189-17-4241"/>
    <x v="0"/>
    <x v="0"/>
    <x v="1"/>
    <x v="0"/>
    <x v="5"/>
    <x v="27"/>
    <x v="5"/>
    <n v="8.7669999999999995"/>
    <n v="184.107"/>
    <x v="24"/>
    <x v="27"/>
    <x v="2"/>
    <n v="175.34"/>
    <n v="4.7619047620000003"/>
    <n v="8.7669999999999995"/>
    <n v="7.7"/>
  </r>
  <r>
    <s v="145-94-9061"/>
    <x v="2"/>
    <x v="2"/>
    <x v="1"/>
    <x v="0"/>
    <x v="4"/>
    <x v="28"/>
    <x v="1"/>
    <n v="22.09"/>
    <n v="463.89"/>
    <x v="25"/>
    <x v="28"/>
    <x v="1"/>
    <n v="441.8"/>
    <n v="4.7619047620000003"/>
    <n v="22.09"/>
    <n v="9.6"/>
  </r>
  <r>
    <s v="848-62-7243"/>
    <x v="0"/>
    <x v="0"/>
    <x v="1"/>
    <x v="1"/>
    <x v="0"/>
    <x v="29"/>
    <x v="9"/>
    <n v="11.2005"/>
    <n v="235.2105"/>
    <x v="20"/>
    <x v="29"/>
    <x v="1"/>
    <n v="224.01"/>
    <n v="4.7619047620000003"/>
    <n v="11.2005"/>
    <n v="7.4"/>
  </r>
  <r>
    <s v="871-79-8483"/>
    <x v="2"/>
    <x v="2"/>
    <x v="1"/>
    <x v="1"/>
    <x v="5"/>
    <x v="30"/>
    <x v="1"/>
    <n v="23.532499999999999"/>
    <n v="494.1825"/>
    <x v="6"/>
    <x v="30"/>
    <x v="2"/>
    <n v="470.65"/>
    <n v="4.7619047620000003"/>
    <n v="23.532499999999999"/>
    <n v="4.8"/>
  </r>
  <r>
    <s v="149-71-6266"/>
    <x v="2"/>
    <x v="2"/>
    <x v="0"/>
    <x v="1"/>
    <x v="3"/>
    <x v="31"/>
    <x v="9"/>
    <n v="35.131500000000003"/>
    <n v="737.76149999999996"/>
    <x v="26"/>
    <x v="31"/>
    <x v="1"/>
    <n v="702.63"/>
    <n v="4.7619047620000003"/>
    <n v="35.131500000000003"/>
    <n v="4.5"/>
  </r>
  <r>
    <s v="640-49-2076"/>
    <x v="2"/>
    <x v="2"/>
    <x v="1"/>
    <x v="1"/>
    <x v="3"/>
    <x v="32"/>
    <x v="2"/>
    <n v="33.512"/>
    <n v="703.75199999999995"/>
    <x v="8"/>
    <x v="32"/>
    <x v="1"/>
    <n v="670.24"/>
    <n v="4.7619047620000003"/>
    <n v="33.512"/>
    <n v="5.0999999999999996"/>
  </r>
  <r>
    <s v="595-11-5460"/>
    <x v="0"/>
    <x v="0"/>
    <x v="1"/>
    <x v="1"/>
    <x v="0"/>
    <x v="33"/>
    <x v="5"/>
    <n v="9.6579999999999995"/>
    <n v="202.81800000000001"/>
    <x v="20"/>
    <x v="33"/>
    <x v="2"/>
    <n v="193.16"/>
    <n v="4.7619047620000003"/>
    <n v="9.6579999999999995"/>
    <n v="5.0999999999999996"/>
  </r>
  <r>
    <s v="183-56-6882"/>
    <x v="1"/>
    <x v="1"/>
    <x v="0"/>
    <x v="0"/>
    <x v="4"/>
    <x v="34"/>
    <x v="7"/>
    <n v="19.884"/>
    <n v="417.56400000000002"/>
    <x v="10"/>
    <x v="34"/>
    <x v="0"/>
    <n v="397.68"/>
    <n v="4.7619047620000003"/>
    <n v="19.884"/>
    <n v="7.5"/>
  </r>
  <r>
    <s v="232-16-2483"/>
    <x v="1"/>
    <x v="1"/>
    <x v="0"/>
    <x v="0"/>
    <x v="3"/>
    <x v="35"/>
    <x v="8"/>
    <n v="3.4060000000000001"/>
    <n v="71.525999999999996"/>
    <x v="27"/>
    <x v="35"/>
    <x v="0"/>
    <n v="68.12"/>
    <n v="4.7619047620000003"/>
    <n v="3.4060000000000001"/>
    <n v="6.8"/>
  </r>
  <r>
    <s v="129-29-8530"/>
    <x v="0"/>
    <x v="0"/>
    <x v="0"/>
    <x v="1"/>
    <x v="3"/>
    <x v="36"/>
    <x v="1"/>
    <n v="15.654999999999999"/>
    <n v="328.755"/>
    <x v="24"/>
    <x v="36"/>
    <x v="0"/>
    <n v="313.10000000000002"/>
    <n v="4.7619047620000003"/>
    <n v="15.654999999999999"/>
    <n v="7"/>
  </r>
  <r>
    <s v="272-65-1806"/>
    <x v="0"/>
    <x v="0"/>
    <x v="1"/>
    <x v="0"/>
    <x v="1"/>
    <x v="37"/>
    <x v="9"/>
    <n v="27.396000000000001"/>
    <n v="575.31600000000003"/>
    <x v="15"/>
    <x v="37"/>
    <x v="0"/>
    <n v="547.91999999999996"/>
    <n v="4.7619047620000003"/>
    <n v="27.396000000000001"/>
    <n v="4.7"/>
  </r>
  <r>
    <s v="333-73-7901"/>
    <x v="1"/>
    <x v="1"/>
    <x v="1"/>
    <x v="0"/>
    <x v="0"/>
    <x v="38"/>
    <x v="2"/>
    <n v="21.968"/>
    <n v="461.32799999999997"/>
    <x v="28"/>
    <x v="38"/>
    <x v="0"/>
    <n v="439.36"/>
    <n v="4.7619047620000003"/>
    <n v="21.968"/>
    <n v="7.6"/>
  </r>
  <r>
    <s v="777-82-7220"/>
    <x v="2"/>
    <x v="2"/>
    <x v="0"/>
    <x v="1"/>
    <x v="2"/>
    <x v="39"/>
    <x v="2"/>
    <n v="12.048"/>
    <n v="253.00800000000001"/>
    <x v="2"/>
    <x v="39"/>
    <x v="1"/>
    <n v="240.96"/>
    <n v="4.7619047620000003"/>
    <n v="12.048"/>
    <n v="7.7"/>
  </r>
  <r>
    <s v="280-35-5823"/>
    <x v="2"/>
    <x v="2"/>
    <x v="0"/>
    <x v="0"/>
    <x v="2"/>
    <x v="40"/>
    <x v="8"/>
    <n v="4.3360000000000003"/>
    <n v="91.055999999999997"/>
    <x v="29"/>
    <x v="40"/>
    <x v="0"/>
    <n v="86.72"/>
    <n v="4.7619047620000003"/>
    <n v="4.3360000000000003"/>
    <n v="7.9"/>
  </r>
  <r>
    <s v="554-53-8700"/>
    <x v="1"/>
    <x v="1"/>
    <x v="0"/>
    <x v="1"/>
    <x v="2"/>
    <x v="41"/>
    <x v="5"/>
    <n v="5.6109999999999998"/>
    <n v="117.831"/>
    <x v="30"/>
    <x v="41"/>
    <x v="1"/>
    <n v="112.22"/>
    <n v="4.7619047620000003"/>
    <n v="5.6109999999999998"/>
    <n v="6.3"/>
  </r>
  <r>
    <s v="354-25-5821"/>
    <x v="2"/>
    <x v="2"/>
    <x v="0"/>
    <x v="0"/>
    <x v="3"/>
    <x v="42"/>
    <x v="3"/>
    <n v="20.736000000000001"/>
    <n v="435.45600000000002"/>
    <x v="4"/>
    <x v="42"/>
    <x v="1"/>
    <n v="414.72"/>
    <n v="4.7619047620000003"/>
    <n v="20.736000000000001"/>
    <n v="5.6"/>
  </r>
  <r>
    <s v="228-96-1411"/>
    <x v="1"/>
    <x v="1"/>
    <x v="0"/>
    <x v="0"/>
    <x v="4"/>
    <x v="43"/>
    <x v="2"/>
    <n v="39.479999999999997"/>
    <n v="829.08"/>
    <x v="31"/>
    <x v="43"/>
    <x v="1"/>
    <n v="789.6"/>
    <n v="4.7619047620000003"/>
    <n v="39.479999999999997"/>
    <n v="7.6"/>
  </r>
  <r>
    <s v="617-15-4209"/>
    <x v="1"/>
    <x v="1"/>
    <x v="0"/>
    <x v="1"/>
    <x v="0"/>
    <x v="44"/>
    <x v="5"/>
    <n v="1.5369999999999999"/>
    <n v="32.277000000000001"/>
    <x v="32"/>
    <x v="44"/>
    <x v="1"/>
    <n v="30.74"/>
    <n v="4.7619047620000003"/>
    <n v="1.5369999999999999"/>
    <n v="7.2"/>
  </r>
  <r>
    <s v="132-32-9879"/>
    <x v="2"/>
    <x v="2"/>
    <x v="0"/>
    <x v="0"/>
    <x v="1"/>
    <x v="45"/>
    <x v="7"/>
    <n v="18.792000000000002"/>
    <n v="394.63200000000001"/>
    <x v="11"/>
    <x v="18"/>
    <x v="1"/>
    <n v="375.84"/>
    <n v="4.7619047620000003"/>
    <n v="18.792000000000002"/>
    <n v="9.5"/>
  </r>
  <r>
    <s v="370-41-7321"/>
    <x v="2"/>
    <x v="2"/>
    <x v="0"/>
    <x v="1"/>
    <x v="0"/>
    <x v="46"/>
    <x v="9"/>
    <n v="25.5105"/>
    <n v="535.72050000000002"/>
    <x v="33"/>
    <x v="45"/>
    <x v="2"/>
    <n v="510.21"/>
    <n v="4.7619047620000003"/>
    <n v="25.5105"/>
    <n v="8.4"/>
  </r>
  <r>
    <s v="727-46-3608"/>
    <x v="2"/>
    <x v="2"/>
    <x v="0"/>
    <x v="0"/>
    <x v="4"/>
    <x v="47"/>
    <x v="9"/>
    <n v="9.0045000000000002"/>
    <n v="189.09450000000001"/>
    <x v="10"/>
    <x v="46"/>
    <x v="0"/>
    <n v="180.09"/>
    <n v="4.7619047620000003"/>
    <n v="9.0045000000000002"/>
    <n v="4.0999999999999996"/>
  </r>
  <r>
    <s v="669-54-1719"/>
    <x v="2"/>
    <x v="2"/>
    <x v="0"/>
    <x v="1"/>
    <x v="1"/>
    <x v="48"/>
    <x v="3"/>
    <n v="5.6790000000000003"/>
    <n v="119.259"/>
    <x v="34"/>
    <x v="47"/>
    <x v="2"/>
    <n v="113.58"/>
    <n v="4.7619047620000003"/>
    <n v="5.6790000000000003"/>
    <n v="8.1"/>
  </r>
  <r>
    <s v="574-22-5561"/>
    <x v="1"/>
    <x v="1"/>
    <x v="0"/>
    <x v="0"/>
    <x v="5"/>
    <x v="49"/>
    <x v="4"/>
    <n v="41.314999999999998"/>
    <n v="867.61500000000001"/>
    <x v="35"/>
    <x v="48"/>
    <x v="0"/>
    <n v="826.3"/>
    <n v="4.7619047620000003"/>
    <n v="41.314999999999998"/>
    <n v="7.9"/>
  </r>
  <r>
    <s v="326-78-5178"/>
    <x v="1"/>
    <x v="1"/>
    <x v="0"/>
    <x v="1"/>
    <x v="4"/>
    <x v="50"/>
    <x v="0"/>
    <n v="31.99"/>
    <n v="671.79"/>
    <x v="36"/>
    <x v="49"/>
    <x v="1"/>
    <n v="639.79999999999995"/>
    <n v="4.7619047620000003"/>
    <n v="31.99"/>
    <n v="9.5"/>
  </r>
  <r>
    <s v="162-48-8011"/>
    <x v="0"/>
    <x v="0"/>
    <x v="0"/>
    <x v="0"/>
    <x v="4"/>
    <x v="51"/>
    <x v="1"/>
    <n v="11.147500000000001"/>
    <n v="234.0975"/>
    <x v="34"/>
    <x v="50"/>
    <x v="1"/>
    <n v="222.95"/>
    <n v="4.7619047620000003"/>
    <n v="11.147500000000001"/>
    <n v="8.5"/>
  </r>
  <r>
    <s v="616-24-2851"/>
    <x v="2"/>
    <x v="2"/>
    <x v="0"/>
    <x v="0"/>
    <x v="5"/>
    <x v="52"/>
    <x v="7"/>
    <n v="3.5739999999999998"/>
    <n v="75.054000000000002"/>
    <x v="23"/>
    <x v="51"/>
    <x v="0"/>
    <n v="71.48"/>
    <n v="4.7619047620000003"/>
    <n v="3.5739999999999998"/>
    <n v="6.5"/>
  </r>
  <r>
    <s v="778-71-5554"/>
    <x v="1"/>
    <x v="1"/>
    <x v="0"/>
    <x v="1"/>
    <x v="5"/>
    <x v="53"/>
    <x v="8"/>
    <n v="0.77149999999999996"/>
    <n v="16.201499999999999"/>
    <x v="25"/>
    <x v="52"/>
    <x v="2"/>
    <n v="15.43"/>
    <n v="4.7619047620000003"/>
    <n v="0.77149999999999996"/>
    <n v="6.1"/>
  </r>
  <r>
    <s v="242-55-6721"/>
    <x v="2"/>
    <x v="2"/>
    <x v="1"/>
    <x v="1"/>
    <x v="2"/>
    <x v="54"/>
    <x v="5"/>
    <n v="1.6160000000000001"/>
    <n v="33.936"/>
    <x v="37"/>
    <x v="53"/>
    <x v="0"/>
    <n v="32.32"/>
    <n v="4.7619047620000003"/>
    <n v="1.6160000000000001"/>
    <n v="6.5"/>
  </r>
  <r>
    <s v="399-46-5918"/>
    <x v="1"/>
    <x v="1"/>
    <x v="1"/>
    <x v="0"/>
    <x v="1"/>
    <x v="55"/>
    <x v="2"/>
    <n v="34.392000000000003"/>
    <n v="722.23199999999997"/>
    <x v="38"/>
    <x v="54"/>
    <x v="1"/>
    <n v="687.84"/>
    <n v="4.7619047620000003"/>
    <n v="34.392000000000003"/>
    <n v="8.1999999999999993"/>
  </r>
  <r>
    <s v="106-35-6779"/>
    <x v="0"/>
    <x v="0"/>
    <x v="0"/>
    <x v="1"/>
    <x v="2"/>
    <x v="56"/>
    <x v="5"/>
    <n v="4.4340000000000002"/>
    <n v="93.114000000000004"/>
    <x v="39"/>
    <x v="55"/>
    <x v="1"/>
    <n v="88.68"/>
    <n v="4.7619047620000003"/>
    <n v="4.4340000000000002"/>
    <n v="5.8"/>
  </r>
  <r>
    <s v="635-40-6220"/>
    <x v="0"/>
    <x v="0"/>
    <x v="1"/>
    <x v="1"/>
    <x v="0"/>
    <x v="57"/>
    <x v="2"/>
    <n v="35.840000000000003"/>
    <n v="752.64"/>
    <x v="13"/>
    <x v="56"/>
    <x v="0"/>
    <n v="716.8"/>
    <n v="4.7619047620000003"/>
    <n v="35.840000000000003"/>
    <n v="6.6"/>
  </r>
  <r>
    <s v="817-48-8732"/>
    <x v="0"/>
    <x v="0"/>
    <x v="0"/>
    <x v="0"/>
    <x v="2"/>
    <x v="58"/>
    <x v="4"/>
    <n v="36.174999999999997"/>
    <n v="759.67499999999995"/>
    <x v="40"/>
    <x v="57"/>
    <x v="1"/>
    <n v="723.5"/>
    <n v="4.7619047620000003"/>
    <n v="36.174999999999997"/>
    <n v="5.4"/>
  </r>
  <r>
    <s v="120-06-4233"/>
    <x v="1"/>
    <x v="1"/>
    <x v="1"/>
    <x v="1"/>
    <x v="1"/>
    <x v="59"/>
    <x v="3"/>
    <n v="9.1829999999999998"/>
    <n v="192.84299999999999"/>
    <x v="41"/>
    <x v="58"/>
    <x v="1"/>
    <n v="183.66"/>
    <n v="4.7619047620000003"/>
    <n v="9.1829999999999998"/>
    <n v="9.3000000000000007"/>
  </r>
  <r>
    <s v="285-68-5083"/>
    <x v="1"/>
    <x v="1"/>
    <x v="0"/>
    <x v="0"/>
    <x v="3"/>
    <x v="60"/>
    <x v="6"/>
    <n v="3.7109999999999999"/>
    <n v="77.930999999999997"/>
    <x v="42"/>
    <x v="59"/>
    <x v="2"/>
    <n v="74.22"/>
    <n v="4.7619047620000003"/>
    <n v="3.7109999999999999"/>
    <n v="10"/>
  </r>
  <r>
    <s v="803-83-5989"/>
    <x v="1"/>
    <x v="1"/>
    <x v="1"/>
    <x v="1"/>
    <x v="2"/>
    <x v="61"/>
    <x v="3"/>
    <n v="16.719000000000001"/>
    <n v="351.09899999999999"/>
    <x v="7"/>
    <x v="60"/>
    <x v="0"/>
    <n v="334.38"/>
    <n v="4.7619047620000003"/>
    <n v="16.719000000000001"/>
    <n v="7"/>
  </r>
  <r>
    <s v="347-34-2234"/>
    <x v="2"/>
    <x v="2"/>
    <x v="0"/>
    <x v="0"/>
    <x v="3"/>
    <x v="62"/>
    <x v="9"/>
    <n v="24.781500000000001"/>
    <n v="520.41150000000005"/>
    <x v="36"/>
    <x v="61"/>
    <x v="0"/>
    <n v="495.63"/>
    <n v="4.7619047620000003"/>
    <n v="24.781500000000001"/>
    <n v="10"/>
  </r>
  <r>
    <s v="199-75-8169"/>
    <x v="0"/>
    <x v="0"/>
    <x v="0"/>
    <x v="1"/>
    <x v="3"/>
    <x v="63"/>
    <x v="4"/>
    <n v="7.9050000000000002"/>
    <n v="166.005"/>
    <x v="43"/>
    <x v="62"/>
    <x v="2"/>
    <n v="158.1"/>
    <n v="4.7619047620000003"/>
    <n v="7.9050000000000002"/>
    <n v="8.6"/>
  </r>
  <r>
    <s v="853-23-2453"/>
    <x v="2"/>
    <x v="2"/>
    <x v="0"/>
    <x v="1"/>
    <x v="0"/>
    <x v="64"/>
    <x v="7"/>
    <n v="15.148"/>
    <n v="318.108"/>
    <x v="44"/>
    <x v="63"/>
    <x v="1"/>
    <n v="302.95999999999998"/>
    <n v="4.7619047620000003"/>
    <n v="15.148"/>
    <n v="7.6"/>
  </r>
  <r>
    <s v="877-22-3308"/>
    <x v="0"/>
    <x v="0"/>
    <x v="0"/>
    <x v="1"/>
    <x v="0"/>
    <x v="65"/>
    <x v="4"/>
    <n v="7.9349999999999996"/>
    <n v="166.63499999999999"/>
    <x v="45"/>
    <x v="64"/>
    <x v="1"/>
    <n v="158.69999999999999"/>
    <n v="4.7619047620000003"/>
    <n v="7.9349999999999996"/>
    <n v="5.8"/>
  </r>
  <r>
    <s v="838-78-4295"/>
    <x v="1"/>
    <x v="1"/>
    <x v="1"/>
    <x v="0"/>
    <x v="0"/>
    <x v="66"/>
    <x v="5"/>
    <n v="3.347"/>
    <n v="70.287000000000006"/>
    <x v="34"/>
    <x v="65"/>
    <x v="0"/>
    <n v="66.94"/>
    <n v="4.7619047620000003"/>
    <n v="3.347"/>
    <n v="6.7"/>
  </r>
  <r>
    <s v="109-28-2512"/>
    <x v="2"/>
    <x v="2"/>
    <x v="0"/>
    <x v="0"/>
    <x v="5"/>
    <x v="67"/>
    <x v="3"/>
    <n v="29.283000000000001"/>
    <n v="614.94299999999998"/>
    <x v="27"/>
    <x v="66"/>
    <x v="0"/>
    <n v="585.66"/>
    <n v="4.7619047620000003"/>
    <n v="29.283000000000001"/>
    <n v="9.9"/>
  </r>
  <r>
    <s v="232-11-3025"/>
    <x v="0"/>
    <x v="0"/>
    <x v="1"/>
    <x v="1"/>
    <x v="3"/>
    <x v="68"/>
    <x v="4"/>
    <n v="39.384999999999998"/>
    <n v="827.08500000000004"/>
    <x v="46"/>
    <x v="67"/>
    <x v="1"/>
    <n v="787.7"/>
    <n v="4.7619047620000003"/>
    <n v="39.384999999999998"/>
    <n v="6.4"/>
  </r>
  <r>
    <s v="382-03-4532"/>
    <x v="0"/>
    <x v="0"/>
    <x v="0"/>
    <x v="0"/>
    <x v="0"/>
    <x v="69"/>
    <x v="8"/>
    <n v="0.91649999999999998"/>
    <n v="19.246500000000001"/>
    <x v="30"/>
    <x v="68"/>
    <x v="1"/>
    <n v="18.329999999999998"/>
    <n v="4.7619047620000003"/>
    <n v="0.91649999999999998"/>
    <n v="4.3"/>
  </r>
  <r>
    <s v="393-65-2792"/>
    <x v="1"/>
    <x v="1"/>
    <x v="1"/>
    <x v="1"/>
    <x v="4"/>
    <x v="70"/>
    <x v="4"/>
    <n v="44.74"/>
    <n v="939.54"/>
    <x v="47"/>
    <x v="69"/>
    <x v="2"/>
    <n v="894.8"/>
    <n v="4.7619047620000003"/>
    <n v="44.74"/>
    <n v="9.6"/>
  </r>
  <r>
    <s v="796-12-2025"/>
    <x v="1"/>
    <x v="1"/>
    <x v="1"/>
    <x v="1"/>
    <x v="5"/>
    <x v="71"/>
    <x v="4"/>
    <n v="31.06"/>
    <n v="652.26"/>
    <x v="48"/>
    <x v="15"/>
    <x v="1"/>
    <n v="621.20000000000005"/>
    <n v="4.7619047620000003"/>
    <n v="31.06"/>
    <n v="5.9"/>
  </r>
  <r>
    <s v="510-95-6347"/>
    <x v="2"/>
    <x v="2"/>
    <x v="0"/>
    <x v="0"/>
    <x v="4"/>
    <x v="72"/>
    <x v="6"/>
    <n v="7.2779999999999996"/>
    <n v="152.83799999999999"/>
    <x v="19"/>
    <x v="70"/>
    <x v="0"/>
    <n v="145.56"/>
    <n v="4.7619047620000003"/>
    <n v="7.2779999999999996"/>
    <n v="4"/>
  </r>
  <r>
    <s v="841-35-6630"/>
    <x v="1"/>
    <x v="1"/>
    <x v="1"/>
    <x v="0"/>
    <x v="1"/>
    <x v="73"/>
    <x v="3"/>
    <n v="22.773"/>
    <n v="478.233"/>
    <x v="11"/>
    <x v="71"/>
    <x v="1"/>
    <n v="455.46"/>
    <n v="4.7619047620000003"/>
    <n v="22.773"/>
    <n v="8.6999999999999993"/>
  </r>
  <r>
    <s v="287-21-9091"/>
    <x v="0"/>
    <x v="0"/>
    <x v="1"/>
    <x v="1"/>
    <x v="2"/>
    <x v="74"/>
    <x v="9"/>
    <n v="33.601500000000001"/>
    <n v="705.63149999999996"/>
    <x v="49"/>
    <x v="60"/>
    <x v="0"/>
    <n v="672.03"/>
    <n v="4.7619047620000003"/>
    <n v="33.601500000000001"/>
    <n v="9.4"/>
  </r>
  <r>
    <s v="732-94-0499"/>
    <x v="1"/>
    <x v="1"/>
    <x v="1"/>
    <x v="0"/>
    <x v="1"/>
    <x v="75"/>
    <x v="4"/>
    <n v="20.824999999999999"/>
    <n v="437.32499999999999"/>
    <x v="50"/>
    <x v="72"/>
    <x v="2"/>
    <n v="416.5"/>
    <n v="4.7619047620000003"/>
    <n v="20.824999999999999"/>
    <n v="5.4"/>
  </r>
  <r>
    <s v="263-10-3913"/>
    <x v="1"/>
    <x v="1"/>
    <x v="0"/>
    <x v="1"/>
    <x v="5"/>
    <x v="76"/>
    <x v="9"/>
    <n v="22.068000000000001"/>
    <n v="463.428"/>
    <x v="51"/>
    <x v="73"/>
    <x v="2"/>
    <n v="441.36"/>
    <n v="4.7619047620000003"/>
    <n v="22.068000000000001"/>
    <n v="8.6"/>
  </r>
  <r>
    <s v="381-20-0914"/>
    <x v="0"/>
    <x v="0"/>
    <x v="0"/>
    <x v="0"/>
    <x v="5"/>
    <x v="47"/>
    <x v="9"/>
    <n v="9.0045000000000002"/>
    <n v="189.09450000000001"/>
    <x v="52"/>
    <x v="74"/>
    <x v="2"/>
    <n v="180.09"/>
    <n v="4.7619047620000003"/>
    <n v="9.0045000000000002"/>
    <n v="5.7"/>
  </r>
  <r>
    <s v="829-49-1914"/>
    <x v="1"/>
    <x v="1"/>
    <x v="0"/>
    <x v="0"/>
    <x v="4"/>
    <x v="77"/>
    <x v="4"/>
    <n v="39.155000000000001"/>
    <n v="822.255"/>
    <x v="19"/>
    <x v="75"/>
    <x v="0"/>
    <n v="783.1"/>
    <n v="4.7619047620000003"/>
    <n v="39.155000000000001"/>
    <n v="6.6"/>
  </r>
  <r>
    <s v="756-01-7507"/>
    <x v="1"/>
    <x v="1"/>
    <x v="1"/>
    <x v="0"/>
    <x v="0"/>
    <x v="78"/>
    <x v="1"/>
    <n v="5.0949999999999998"/>
    <n v="106.995"/>
    <x v="49"/>
    <x v="76"/>
    <x v="1"/>
    <n v="101.9"/>
    <n v="4.7619047620000003"/>
    <n v="5.0949999999999998"/>
    <n v="6"/>
  </r>
  <r>
    <s v="870-72-4431"/>
    <x v="1"/>
    <x v="1"/>
    <x v="1"/>
    <x v="0"/>
    <x v="0"/>
    <x v="79"/>
    <x v="3"/>
    <n v="29.757000000000001"/>
    <n v="624.89700000000005"/>
    <x v="18"/>
    <x v="51"/>
    <x v="2"/>
    <n v="595.14"/>
    <n v="4.7619047620000003"/>
    <n v="29.757000000000001"/>
    <n v="5.5"/>
  </r>
  <r>
    <s v="847-38-7188"/>
    <x v="2"/>
    <x v="2"/>
    <x v="1"/>
    <x v="0"/>
    <x v="4"/>
    <x v="80"/>
    <x v="6"/>
    <n v="14.502000000000001"/>
    <n v="304.54199999999997"/>
    <x v="53"/>
    <x v="77"/>
    <x v="0"/>
    <n v="290.04000000000002"/>
    <n v="4.7619047620000003"/>
    <n v="14.502000000000001"/>
    <n v="6.4"/>
  </r>
  <r>
    <s v="480-63-2856"/>
    <x v="1"/>
    <x v="1"/>
    <x v="1"/>
    <x v="1"/>
    <x v="4"/>
    <x v="81"/>
    <x v="2"/>
    <n v="7.7"/>
    <n v="161.69999999999999"/>
    <x v="54"/>
    <x v="78"/>
    <x v="0"/>
    <n v="154"/>
    <n v="4.7619047620000003"/>
    <n v="7.7"/>
    <n v="6.6"/>
  </r>
  <r>
    <s v="787-56-0757"/>
    <x v="1"/>
    <x v="1"/>
    <x v="0"/>
    <x v="0"/>
    <x v="4"/>
    <x v="82"/>
    <x v="7"/>
    <n v="16.071999999999999"/>
    <n v="337.512"/>
    <x v="55"/>
    <x v="40"/>
    <x v="2"/>
    <n v="321.44"/>
    <n v="4.7619047620000003"/>
    <n v="16.071999999999999"/>
    <n v="8.3000000000000007"/>
  </r>
  <r>
    <s v="360-39-5055"/>
    <x v="1"/>
    <x v="1"/>
    <x v="0"/>
    <x v="1"/>
    <x v="3"/>
    <x v="83"/>
    <x v="1"/>
    <n v="12.227499999999999"/>
    <n v="256.77749999999997"/>
    <x v="11"/>
    <x v="79"/>
    <x v="1"/>
    <n v="244.55"/>
    <n v="4.7619047620000003"/>
    <n v="12.227499999999999"/>
    <n v="6.6"/>
  </r>
  <r>
    <s v="730-50-9884"/>
    <x v="1"/>
    <x v="1"/>
    <x v="1"/>
    <x v="0"/>
    <x v="3"/>
    <x v="84"/>
    <x v="0"/>
    <n v="29.071000000000002"/>
    <n v="610.49099999999999"/>
    <x v="19"/>
    <x v="80"/>
    <x v="0"/>
    <n v="581.41999999999996"/>
    <n v="4.7619047620000003"/>
    <n v="29.071000000000002"/>
    <n v="4"/>
  </r>
  <r>
    <s v="362-58-8315"/>
    <x v="1"/>
    <x v="1"/>
    <x v="1"/>
    <x v="1"/>
    <x v="5"/>
    <x v="85"/>
    <x v="1"/>
    <n v="19.13"/>
    <n v="401.73"/>
    <x v="5"/>
    <x v="81"/>
    <x v="1"/>
    <n v="382.6"/>
    <n v="4.7619047620000003"/>
    <n v="19.13"/>
    <n v="9.9"/>
  </r>
  <r>
    <s v="633-44-8566"/>
    <x v="0"/>
    <x v="0"/>
    <x v="0"/>
    <x v="1"/>
    <x v="4"/>
    <x v="86"/>
    <x v="0"/>
    <n v="17.283000000000001"/>
    <n v="362.94299999999998"/>
    <x v="39"/>
    <x v="82"/>
    <x v="2"/>
    <n v="345.66"/>
    <n v="4.7619047620000003"/>
    <n v="17.283000000000001"/>
    <n v="7.3"/>
  </r>
  <r>
    <s v="504-35-8843"/>
    <x v="0"/>
    <x v="0"/>
    <x v="1"/>
    <x v="1"/>
    <x v="3"/>
    <x v="87"/>
    <x v="8"/>
    <n v="2.1234999999999999"/>
    <n v="44.593499999999999"/>
    <x v="56"/>
    <x v="83"/>
    <x v="1"/>
    <n v="42.47"/>
    <n v="4.7619047620000003"/>
    <n v="2.1234999999999999"/>
    <n v="5.7"/>
  </r>
  <r>
    <s v="318-68-5053"/>
    <x v="2"/>
    <x v="2"/>
    <x v="1"/>
    <x v="0"/>
    <x v="0"/>
    <x v="88"/>
    <x v="3"/>
    <n v="23.097000000000001"/>
    <n v="485.03699999999998"/>
    <x v="33"/>
    <x v="84"/>
    <x v="1"/>
    <n v="461.94"/>
    <n v="4.7619047620000003"/>
    <n v="23.097000000000001"/>
    <n v="6.1"/>
  </r>
  <r>
    <s v="565-80-5980"/>
    <x v="1"/>
    <x v="1"/>
    <x v="0"/>
    <x v="0"/>
    <x v="2"/>
    <x v="89"/>
    <x v="7"/>
    <n v="9.4760000000000009"/>
    <n v="198.99600000000001"/>
    <x v="54"/>
    <x v="12"/>
    <x v="1"/>
    <n v="189.52"/>
    <n v="4.7619047620000003"/>
    <n v="9.4760000000000009"/>
    <n v="7.1"/>
  </r>
  <r>
    <s v="225-32-0908"/>
    <x v="1"/>
    <x v="1"/>
    <x v="1"/>
    <x v="0"/>
    <x v="3"/>
    <x v="90"/>
    <x v="4"/>
    <n v="22.43"/>
    <n v="471.03"/>
    <x v="53"/>
    <x v="85"/>
    <x v="0"/>
    <n v="448.6"/>
    <n v="4.7619047620000003"/>
    <n v="22.43"/>
    <n v="8.1999999999999993"/>
  </r>
  <r>
    <s v="873-51-0671"/>
    <x v="0"/>
    <x v="0"/>
    <x v="0"/>
    <x v="0"/>
    <x v="3"/>
    <x v="91"/>
    <x v="0"/>
    <n v="7.6929999999999996"/>
    <n v="161.553"/>
    <x v="8"/>
    <x v="86"/>
    <x v="0"/>
    <n v="153.86000000000001"/>
    <n v="4.7619047620000003"/>
    <n v="7.6929999999999996"/>
    <n v="5.0999999999999996"/>
  </r>
  <r>
    <s v="152-08-9985"/>
    <x v="2"/>
    <x v="2"/>
    <x v="0"/>
    <x v="1"/>
    <x v="0"/>
    <x v="92"/>
    <x v="9"/>
    <n v="28.962"/>
    <n v="608.202"/>
    <x v="41"/>
    <x v="87"/>
    <x v="2"/>
    <n v="579.24"/>
    <n v="4.7619047620000003"/>
    <n v="28.962"/>
    <n v="8.6"/>
  </r>
  <r>
    <s v="512-91-0811"/>
    <x v="1"/>
    <x v="1"/>
    <x v="1"/>
    <x v="1"/>
    <x v="0"/>
    <x v="93"/>
    <x v="8"/>
    <n v="4.4874999999999998"/>
    <n v="94.237499999999997"/>
    <x v="10"/>
    <x v="88"/>
    <x v="2"/>
    <n v="89.75"/>
    <n v="4.7619047620000003"/>
    <n v="4.4874999999999998"/>
    <n v="6.6"/>
  </r>
  <r>
    <s v="594-34-4444"/>
    <x v="0"/>
    <x v="0"/>
    <x v="1"/>
    <x v="1"/>
    <x v="1"/>
    <x v="94"/>
    <x v="8"/>
    <n v="4.8579999999999997"/>
    <n v="102.018"/>
    <x v="1"/>
    <x v="89"/>
    <x v="0"/>
    <n v="97.16"/>
    <n v="4.7619047620000003"/>
    <n v="4.8579999999999997"/>
    <n v="7.2"/>
  </r>
  <r>
    <s v="766-85-7061"/>
    <x v="2"/>
    <x v="2"/>
    <x v="1"/>
    <x v="1"/>
    <x v="0"/>
    <x v="95"/>
    <x v="4"/>
    <n v="43.935000000000002"/>
    <n v="922.63499999999999"/>
    <x v="14"/>
    <x v="12"/>
    <x v="0"/>
    <n v="878.7"/>
    <n v="4.7619047620000003"/>
    <n v="43.935000000000002"/>
    <n v="5.0999999999999996"/>
  </r>
  <r>
    <s v="871-39-9221"/>
    <x v="1"/>
    <x v="1"/>
    <x v="1"/>
    <x v="0"/>
    <x v="1"/>
    <x v="96"/>
    <x v="3"/>
    <n v="3.7349999999999999"/>
    <n v="78.435000000000002"/>
    <x v="57"/>
    <x v="90"/>
    <x v="1"/>
    <n v="74.7"/>
    <n v="4.7619047620000003"/>
    <n v="3.7349999999999999"/>
    <n v="4.0999999999999996"/>
  </r>
  <r>
    <s v="865-92-6136"/>
    <x v="0"/>
    <x v="0"/>
    <x v="1"/>
    <x v="1"/>
    <x v="4"/>
    <x v="97"/>
    <x v="6"/>
    <n v="7.9124999999999996"/>
    <n v="166.16249999999999"/>
    <x v="28"/>
    <x v="91"/>
    <x v="0"/>
    <n v="158.25"/>
    <n v="4.7619047620000003"/>
    <n v="7.9124999999999996"/>
    <n v="9.3000000000000007"/>
  </r>
  <r>
    <s v="733-01-9107"/>
    <x v="2"/>
    <x v="2"/>
    <x v="1"/>
    <x v="1"/>
    <x v="2"/>
    <x v="98"/>
    <x v="3"/>
    <n v="24.81"/>
    <n v="521.01"/>
    <x v="19"/>
    <x v="92"/>
    <x v="1"/>
    <n v="496.2"/>
    <n v="4.7619047620000003"/>
    <n v="24.81"/>
    <n v="7.4"/>
  </r>
  <r>
    <s v="163-56-7055"/>
    <x v="1"/>
    <x v="1"/>
    <x v="0"/>
    <x v="1"/>
    <x v="5"/>
    <x v="99"/>
    <x v="8"/>
    <n v="2.4355000000000002"/>
    <n v="51.145499999999998"/>
    <x v="58"/>
    <x v="25"/>
    <x v="1"/>
    <n v="48.71"/>
    <n v="4.7619047620000003"/>
    <n v="2.4355000000000002"/>
    <n v="4.0999999999999996"/>
  </r>
  <r>
    <s v="189-98-2939"/>
    <x v="1"/>
    <x v="1"/>
    <x v="1"/>
    <x v="1"/>
    <x v="5"/>
    <x v="100"/>
    <x v="9"/>
    <n v="35.347499999999997"/>
    <n v="742.29750000000001"/>
    <x v="59"/>
    <x v="93"/>
    <x v="1"/>
    <n v="706.95"/>
    <n v="4.7619047620000003"/>
    <n v="35.347499999999997"/>
    <n v="7.2"/>
  </r>
  <r>
    <s v="551-21-3069"/>
    <x v="1"/>
    <x v="1"/>
    <x v="1"/>
    <x v="0"/>
    <x v="1"/>
    <x v="101"/>
    <x v="9"/>
    <n v="10.381500000000001"/>
    <n v="218.01150000000001"/>
    <x v="60"/>
    <x v="94"/>
    <x v="1"/>
    <n v="207.63"/>
    <n v="4.7619047620000003"/>
    <n v="10.381500000000001"/>
    <n v="4.9000000000000004"/>
  </r>
  <r>
    <s v="212-62-1842"/>
    <x v="0"/>
    <x v="0"/>
    <x v="1"/>
    <x v="1"/>
    <x v="4"/>
    <x v="102"/>
    <x v="3"/>
    <n v="17.478000000000002"/>
    <n v="367.03800000000001"/>
    <x v="61"/>
    <x v="95"/>
    <x v="1"/>
    <n v="349.56"/>
    <n v="4.7619047620000003"/>
    <n v="17.478000000000002"/>
    <n v="9.9"/>
  </r>
  <r>
    <s v="716-39-1409"/>
    <x v="2"/>
    <x v="2"/>
    <x v="1"/>
    <x v="1"/>
    <x v="0"/>
    <x v="103"/>
    <x v="0"/>
    <n v="10.6225"/>
    <n v="223.07249999999999"/>
    <x v="35"/>
    <x v="96"/>
    <x v="1"/>
    <n v="212.45"/>
    <n v="4.7619047620000003"/>
    <n v="10.6225"/>
    <n v="8"/>
  </r>
  <r>
    <s v="704-48-3927"/>
    <x v="0"/>
    <x v="0"/>
    <x v="0"/>
    <x v="1"/>
    <x v="1"/>
    <x v="104"/>
    <x v="4"/>
    <n v="44.335000000000001"/>
    <n v="931.03499999999997"/>
    <x v="52"/>
    <x v="97"/>
    <x v="0"/>
    <n v="886.7"/>
    <n v="4.7619047620000003"/>
    <n v="44.335000000000001"/>
    <n v="7.3"/>
  </r>
  <r>
    <s v="628-34-3388"/>
    <x v="1"/>
    <x v="1"/>
    <x v="1"/>
    <x v="1"/>
    <x v="5"/>
    <x v="105"/>
    <x v="3"/>
    <n v="8.2140000000000004"/>
    <n v="172.494"/>
    <x v="0"/>
    <x v="98"/>
    <x v="2"/>
    <n v="164.28"/>
    <n v="4.7619047620000003"/>
    <n v="8.2140000000000004"/>
    <n v="7.9"/>
  </r>
  <r>
    <s v="630-74-5166"/>
    <x v="0"/>
    <x v="0"/>
    <x v="1"/>
    <x v="1"/>
    <x v="3"/>
    <x v="106"/>
    <x v="3"/>
    <n v="18.638999999999999"/>
    <n v="391.41899999999998"/>
    <x v="23"/>
    <x v="99"/>
    <x v="1"/>
    <n v="372.78"/>
    <n v="4.7619047620000003"/>
    <n v="18.638999999999999"/>
    <n v="7.4"/>
  </r>
  <r>
    <s v="588-01-7461"/>
    <x v="1"/>
    <x v="1"/>
    <x v="1"/>
    <x v="0"/>
    <x v="4"/>
    <x v="107"/>
    <x v="9"/>
    <n v="15.291"/>
    <n v="321.11099999999999"/>
    <x v="62"/>
    <x v="100"/>
    <x v="1"/>
    <n v="305.82"/>
    <n v="4.7619047620000003"/>
    <n v="15.291"/>
    <n v="4.2"/>
  </r>
  <r>
    <s v="861-77-0145"/>
    <x v="1"/>
    <x v="1"/>
    <x v="0"/>
    <x v="1"/>
    <x v="1"/>
    <x v="108"/>
    <x v="4"/>
    <n v="40.984999999999999"/>
    <n v="860.68499999999995"/>
    <x v="2"/>
    <x v="101"/>
    <x v="1"/>
    <n v="819.7"/>
    <n v="4.7619047620000003"/>
    <n v="40.984999999999999"/>
    <n v="9.1999999999999993"/>
  </r>
  <r>
    <s v="479-26-8945"/>
    <x v="2"/>
    <x v="2"/>
    <x v="0"/>
    <x v="0"/>
    <x v="3"/>
    <x v="109"/>
    <x v="5"/>
    <n v="1.649"/>
    <n v="34.628999999999998"/>
    <x v="63"/>
    <x v="102"/>
    <x v="0"/>
    <n v="32.979999999999997"/>
    <n v="4.7619047620000003"/>
    <n v="1.649"/>
    <n v="4.5999999999999996"/>
  </r>
  <r>
    <s v="210-67-5886"/>
    <x v="1"/>
    <x v="1"/>
    <x v="0"/>
    <x v="0"/>
    <x v="0"/>
    <x v="110"/>
    <x v="6"/>
    <n v="14.7315"/>
    <n v="309.36149999999998"/>
    <x v="63"/>
    <x v="103"/>
    <x v="2"/>
    <n v="294.63"/>
    <n v="4.7619047620000003"/>
    <n v="14.7315"/>
    <n v="7.8"/>
  </r>
  <r>
    <s v="227-78-1148"/>
    <x v="2"/>
    <x v="2"/>
    <x v="1"/>
    <x v="0"/>
    <x v="5"/>
    <x v="111"/>
    <x v="0"/>
    <n v="25.494"/>
    <n v="535.37400000000002"/>
    <x v="42"/>
    <x v="104"/>
    <x v="1"/>
    <n v="509.88"/>
    <n v="4.7619047620000003"/>
    <n v="25.494"/>
    <n v="8.4"/>
  </r>
  <r>
    <s v="645-44-1170"/>
    <x v="0"/>
    <x v="0"/>
    <x v="0"/>
    <x v="1"/>
    <x v="2"/>
    <x v="112"/>
    <x v="9"/>
    <n v="26.131499999999999"/>
    <n v="548.76149999999996"/>
    <x v="64"/>
    <x v="105"/>
    <x v="0"/>
    <n v="522.63"/>
    <n v="4.7619047620000003"/>
    <n v="26.131499999999999"/>
    <n v="4.3"/>
  </r>
  <r>
    <s v="237-01-6122"/>
    <x v="1"/>
    <x v="1"/>
    <x v="0"/>
    <x v="0"/>
    <x v="2"/>
    <x v="113"/>
    <x v="9"/>
    <n v="36.355499999999999"/>
    <n v="763.46550000000002"/>
    <x v="60"/>
    <x v="106"/>
    <x v="2"/>
    <n v="727.11"/>
    <n v="4.7619047620000003"/>
    <n v="36.355499999999999"/>
    <n v="9.5"/>
  </r>
  <r>
    <s v="225-98-1496"/>
    <x v="1"/>
    <x v="1"/>
    <x v="1"/>
    <x v="0"/>
    <x v="5"/>
    <x v="114"/>
    <x v="6"/>
    <n v="4.0529999999999999"/>
    <n v="85.113"/>
    <x v="22"/>
    <x v="39"/>
    <x v="2"/>
    <n v="81.06"/>
    <n v="4.7619047620000003"/>
    <n v="4.0529999999999999"/>
    <n v="7.1"/>
  </r>
  <r>
    <s v="291-32-1427"/>
    <x v="2"/>
    <x v="2"/>
    <x v="0"/>
    <x v="1"/>
    <x v="5"/>
    <x v="115"/>
    <x v="1"/>
    <n v="5.4850000000000003"/>
    <n v="115.185"/>
    <x v="19"/>
    <x v="107"/>
    <x v="0"/>
    <n v="109.7"/>
    <n v="4.7619047620000003"/>
    <n v="5.4850000000000003"/>
    <n v="5.3"/>
  </r>
  <r>
    <s v="659-65-8956"/>
    <x v="2"/>
    <x v="2"/>
    <x v="0"/>
    <x v="1"/>
    <x v="5"/>
    <x v="116"/>
    <x v="8"/>
    <n v="2.5680000000000001"/>
    <n v="53.927999999999997"/>
    <x v="65"/>
    <x v="108"/>
    <x v="0"/>
    <n v="51.36"/>
    <n v="4.7619047620000003"/>
    <n v="2.5680000000000001"/>
    <n v="5.2"/>
  </r>
  <r>
    <s v="642-32-2990"/>
    <x v="0"/>
    <x v="0"/>
    <x v="1"/>
    <x v="0"/>
    <x v="4"/>
    <x v="117"/>
    <x v="4"/>
    <n v="5.48"/>
    <n v="115.08"/>
    <x v="30"/>
    <x v="109"/>
    <x v="0"/>
    <n v="109.6"/>
    <n v="4.7619047620000003"/>
    <n v="5.48"/>
    <n v="6"/>
  </r>
  <r>
    <s v="378-24-2715"/>
    <x v="2"/>
    <x v="2"/>
    <x v="1"/>
    <x v="1"/>
    <x v="2"/>
    <x v="118"/>
    <x v="5"/>
    <n v="5.3440000000000003"/>
    <n v="112.224"/>
    <x v="40"/>
    <x v="89"/>
    <x v="0"/>
    <n v="106.88"/>
    <n v="4.7619047620000003"/>
    <n v="5.3440000000000003"/>
    <n v="4.0999999999999996"/>
  </r>
  <r>
    <s v="638-60-7125"/>
    <x v="0"/>
    <x v="0"/>
    <x v="1"/>
    <x v="0"/>
    <x v="1"/>
    <x v="119"/>
    <x v="2"/>
    <n v="39.823999999999998"/>
    <n v="836.30399999999997"/>
    <x v="44"/>
    <x v="11"/>
    <x v="2"/>
    <n v="796.48"/>
    <n v="4.7619047620000003"/>
    <n v="39.823999999999998"/>
    <n v="5.2"/>
  </r>
  <r>
    <s v="659-36-1684"/>
    <x v="1"/>
    <x v="1"/>
    <x v="0"/>
    <x v="1"/>
    <x v="3"/>
    <x v="120"/>
    <x v="0"/>
    <n v="19.992000000000001"/>
    <n v="419.83199999999999"/>
    <x v="52"/>
    <x v="110"/>
    <x v="2"/>
    <n v="399.84"/>
    <n v="4.7619047620000003"/>
    <n v="19.992000000000001"/>
    <n v="6.5"/>
  </r>
  <r>
    <s v="219-22-9386"/>
    <x v="2"/>
    <x v="2"/>
    <x v="0"/>
    <x v="1"/>
    <x v="3"/>
    <x v="121"/>
    <x v="9"/>
    <n v="44.981999999999999"/>
    <n v="944.62199999999996"/>
    <x v="11"/>
    <x v="111"/>
    <x v="2"/>
    <n v="899.64"/>
    <n v="4.7619047620000003"/>
    <n v="44.981999999999999"/>
    <n v="4.2"/>
  </r>
  <r>
    <s v="336-78-2147"/>
    <x v="1"/>
    <x v="1"/>
    <x v="0"/>
    <x v="1"/>
    <x v="2"/>
    <x v="122"/>
    <x v="2"/>
    <n v="25.564"/>
    <n v="536.84400000000005"/>
    <x v="45"/>
    <x v="112"/>
    <x v="2"/>
    <n v="511.28"/>
    <n v="4.7619047620000003"/>
    <n v="25.564"/>
    <n v="4.5999999999999996"/>
  </r>
  <r>
    <s v="268-27-6179"/>
    <x v="2"/>
    <x v="2"/>
    <x v="0"/>
    <x v="0"/>
    <x v="5"/>
    <x v="123"/>
    <x v="2"/>
    <n v="22.588000000000001"/>
    <n v="474.34800000000001"/>
    <x v="11"/>
    <x v="113"/>
    <x v="0"/>
    <n v="451.76"/>
    <n v="4.7619047620000003"/>
    <n v="22.588000000000001"/>
    <n v="7.3"/>
  </r>
  <r>
    <s v="668-90-8900"/>
    <x v="0"/>
    <x v="0"/>
    <x v="1"/>
    <x v="0"/>
    <x v="2"/>
    <x v="124"/>
    <x v="0"/>
    <n v="32.791499999999999"/>
    <n v="688.62149999999997"/>
    <x v="24"/>
    <x v="114"/>
    <x v="2"/>
    <n v="655.83"/>
    <n v="4.7619047620000003"/>
    <n v="32.791499999999999"/>
    <n v="4.5"/>
  </r>
  <r>
    <s v="870-54-3162"/>
    <x v="0"/>
    <x v="0"/>
    <x v="1"/>
    <x v="0"/>
    <x v="3"/>
    <x v="125"/>
    <x v="1"/>
    <n v="8.0625"/>
    <n v="169.3125"/>
    <x v="3"/>
    <x v="115"/>
    <x v="1"/>
    <n v="161.25"/>
    <n v="4.7619047620000003"/>
    <n v="8.0625"/>
    <n v="9"/>
  </r>
  <r>
    <s v="189-08-9157"/>
    <x v="1"/>
    <x v="1"/>
    <x v="1"/>
    <x v="0"/>
    <x v="5"/>
    <x v="126"/>
    <x v="9"/>
    <n v="14.278499999999999"/>
    <n v="299.8485"/>
    <x v="66"/>
    <x v="116"/>
    <x v="2"/>
    <n v="285.57"/>
    <n v="4.7619047620000003"/>
    <n v="14.278499999999999"/>
    <n v="5.9"/>
  </r>
  <r>
    <s v="663-86-9076"/>
    <x v="1"/>
    <x v="1"/>
    <x v="0"/>
    <x v="0"/>
    <x v="4"/>
    <x v="127"/>
    <x v="2"/>
    <n v="27.416"/>
    <n v="575.73599999999999"/>
    <x v="66"/>
    <x v="117"/>
    <x v="0"/>
    <n v="548.32000000000005"/>
    <n v="4.7619047620000003"/>
    <n v="27.416"/>
    <n v="8.5"/>
  </r>
  <r>
    <s v="549-84-7482"/>
    <x v="2"/>
    <x v="2"/>
    <x v="1"/>
    <x v="0"/>
    <x v="3"/>
    <x v="128"/>
    <x v="9"/>
    <n v="40.625999999999998"/>
    <n v="853.14599999999996"/>
    <x v="4"/>
    <x v="23"/>
    <x v="0"/>
    <n v="812.52"/>
    <n v="4.7619047620000003"/>
    <n v="40.625999999999998"/>
    <n v="7.2"/>
  </r>
  <r>
    <s v="191-10-6171"/>
    <x v="2"/>
    <x v="2"/>
    <x v="1"/>
    <x v="0"/>
    <x v="5"/>
    <x v="129"/>
    <x v="0"/>
    <n v="13.867000000000001"/>
    <n v="291.20699999999999"/>
    <x v="25"/>
    <x v="118"/>
    <x v="1"/>
    <n v="277.33999999999997"/>
    <n v="4.7619047620000003"/>
    <n v="13.867000000000001"/>
    <n v="7.5"/>
  </r>
  <r>
    <s v="802-70-5316"/>
    <x v="0"/>
    <x v="0"/>
    <x v="0"/>
    <x v="0"/>
    <x v="3"/>
    <x v="130"/>
    <x v="3"/>
    <n v="27.638999999999999"/>
    <n v="580.41899999999998"/>
    <x v="43"/>
    <x v="119"/>
    <x v="1"/>
    <n v="552.78"/>
    <n v="4.7619047620000003"/>
    <n v="27.638999999999999"/>
    <n v="8.3000000000000007"/>
  </r>
  <r>
    <s v="695-51-0018"/>
    <x v="2"/>
    <x v="2"/>
    <x v="1"/>
    <x v="0"/>
    <x v="3"/>
    <x v="131"/>
    <x v="7"/>
    <n v="6.968"/>
    <n v="146.328"/>
    <x v="34"/>
    <x v="120"/>
    <x v="1"/>
    <n v="139.36000000000001"/>
    <n v="4.7619047620000003"/>
    <n v="6.968"/>
    <n v="7.4"/>
  </r>
  <r>
    <s v="590-83-4591"/>
    <x v="2"/>
    <x v="2"/>
    <x v="0"/>
    <x v="1"/>
    <x v="1"/>
    <x v="132"/>
    <x v="3"/>
    <n v="26.234999999999999"/>
    <n v="550.93499999999995"/>
    <x v="21"/>
    <x v="121"/>
    <x v="2"/>
    <n v="524.70000000000005"/>
    <n v="4.7619047620000003"/>
    <n v="26.234999999999999"/>
    <n v="8.8000000000000007"/>
  </r>
  <r>
    <s v="483-71-1164"/>
    <x v="1"/>
    <x v="1"/>
    <x v="1"/>
    <x v="0"/>
    <x v="0"/>
    <x v="133"/>
    <x v="3"/>
    <n v="24.39"/>
    <n v="512.19000000000005"/>
    <x v="1"/>
    <x v="122"/>
    <x v="0"/>
    <n v="487.8"/>
    <n v="4.7619047620000003"/>
    <n v="24.39"/>
    <n v="5.3"/>
  </r>
  <r>
    <s v="597-78-7908"/>
    <x v="1"/>
    <x v="1"/>
    <x v="1"/>
    <x v="1"/>
    <x v="5"/>
    <x v="134"/>
    <x v="6"/>
    <n v="13.532999999999999"/>
    <n v="284.19299999999998"/>
    <x v="67"/>
    <x v="30"/>
    <x v="1"/>
    <n v="270.66000000000003"/>
    <n v="4.7619047620000003"/>
    <n v="13.532999999999999"/>
    <n v="6.2"/>
  </r>
  <r>
    <s v="700-81-1757"/>
    <x v="0"/>
    <x v="0"/>
    <x v="1"/>
    <x v="0"/>
    <x v="1"/>
    <x v="135"/>
    <x v="1"/>
    <n v="6.5774999999999997"/>
    <n v="138.1275"/>
    <x v="68"/>
    <x v="123"/>
    <x v="2"/>
    <n v="131.55000000000001"/>
    <n v="4.7619047620000003"/>
    <n v="6.5774999999999997"/>
    <n v="8.8000000000000007"/>
  </r>
  <r>
    <s v="354-39-5160"/>
    <x v="0"/>
    <x v="0"/>
    <x v="0"/>
    <x v="0"/>
    <x v="2"/>
    <x v="136"/>
    <x v="3"/>
    <n v="10.326000000000001"/>
    <n v="216.846"/>
    <x v="67"/>
    <x v="124"/>
    <x v="1"/>
    <n v="206.52"/>
    <n v="4.7619047620000003"/>
    <n v="10.326000000000001"/>
    <n v="9.8000000000000007"/>
  </r>
  <r>
    <s v="241-72-9525"/>
    <x v="2"/>
    <x v="2"/>
    <x v="1"/>
    <x v="1"/>
    <x v="3"/>
    <x v="137"/>
    <x v="4"/>
    <n v="25.954999999999998"/>
    <n v="545.05499999999995"/>
    <x v="69"/>
    <x v="125"/>
    <x v="1"/>
    <n v="519.1"/>
    <n v="4.7619047620000003"/>
    <n v="25.954999999999998"/>
    <n v="8.1999999999999993"/>
  </r>
  <r>
    <s v="575-30-8091"/>
    <x v="0"/>
    <x v="0"/>
    <x v="1"/>
    <x v="1"/>
    <x v="3"/>
    <x v="138"/>
    <x v="2"/>
    <n v="29"/>
    <n v="609"/>
    <x v="32"/>
    <x v="126"/>
    <x v="0"/>
    <n v="580"/>
    <n v="4.7619047620000003"/>
    <n v="29"/>
    <n v="9.1999999999999993"/>
  </r>
  <r>
    <s v="731-81-9469"/>
    <x v="1"/>
    <x v="1"/>
    <x v="0"/>
    <x v="0"/>
    <x v="3"/>
    <x v="139"/>
    <x v="4"/>
    <n v="44.9"/>
    <n v="942.9"/>
    <x v="54"/>
    <x v="127"/>
    <x v="2"/>
    <n v="898"/>
    <n v="4.7619047620000003"/>
    <n v="44.9"/>
    <n v="5.4"/>
  </r>
  <r>
    <s v="280-17-4359"/>
    <x v="1"/>
    <x v="1"/>
    <x v="0"/>
    <x v="1"/>
    <x v="0"/>
    <x v="140"/>
    <x v="4"/>
    <n v="45.25"/>
    <n v="950.25"/>
    <x v="25"/>
    <x v="128"/>
    <x v="1"/>
    <n v="905"/>
    <n v="4.7619047620000003"/>
    <n v="45.25"/>
    <n v="8.1"/>
  </r>
  <r>
    <s v="338-65-2210"/>
    <x v="1"/>
    <x v="1"/>
    <x v="0"/>
    <x v="0"/>
    <x v="0"/>
    <x v="141"/>
    <x v="4"/>
    <n v="34.299999999999997"/>
    <n v="720.3"/>
    <x v="63"/>
    <x v="129"/>
    <x v="1"/>
    <n v="686"/>
    <n v="4.7619047620000003"/>
    <n v="34.299999999999997"/>
    <n v="9.1"/>
  </r>
  <r>
    <s v="488-25-4221"/>
    <x v="1"/>
    <x v="1"/>
    <x v="0"/>
    <x v="0"/>
    <x v="4"/>
    <x v="142"/>
    <x v="8"/>
    <n v="1.5205"/>
    <n v="31.930499999999999"/>
    <x v="70"/>
    <x v="130"/>
    <x v="2"/>
    <n v="30.41"/>
    <n v="4.7619047620000003"/>
    <n v="1.5205"/>
    <n v="8.4"/>
  </r>
  <r>
    <s v="239-10-7476"/>
    <x v="0"/>
    <x v="0"/>
    <x v="1"/>
    <x v="0"/>
    <x v="2"/>
    <x v="143"/>
    <x v="3"/>
    <n v="23.385000000000002"/>
    <n v="491.08499999999998"/>
    <x v="18"/>
    <x v="131"/>
    <x v="0"/>
    <n v="467.7"/>
    <n v="4.7619047620000003"/>
    <n v="23.385000000000002"/>
    <n v="8"/>
  </r>
  <r>
    <s v="458-41-1477"/>
    <x v="1"/>
    <x v="1"/>
    <x v="1"/>
    <x v="0"/>
    <x v="0"/>
    <x v="144"/>
    <x v="3"/>
    <n v="13.878"/>
    <n v="291.43799999999999"/>
    <x v="1"/>
    <x v="132"/>
    <x v="2"/>
    <n v="277.56"/>
    <n v="4.7619047620000003"/>
    <n v="13.878"/>
    <n v="9.5"/>
  </r>
  <r>
    <s v="685-64-1609"/>
    <x v="0"/>
    <x v="0"/>
    <x v="0"/>
    <x v="0"/>
    <x v="5"/>
    <x v="145"/>
    <x v="4"/>
    <n v="15.07"/>
    <n v="316.47000000000003"/>
    <x v="34"/>
    <x v="35"/>
    <x v="0"/>
    <n v="301.39999999999998"/>
    <n v="4.7619047620000003"/>
    <n v="15.07"/>
    <n v="9.1999999999999993"/>
  </r>
  <r>
    <s v="568-90-5112"/>
    <x v="1"/>
    <x v="1"/>
    <x v="1"/>
    <x v="1"/>
    <x v="0"/>
    <x v="146"/>
    <x v="7"/>
    <n v="13.228"/>
    <n v="277.78800000000001"/>
    <x v="35"/>
    <x v="69"/>
    <x v="2"/>
    <n v="264.56"/>
    <n v="4.7619047620000003"/>
    <n v="13.228"/>
    <n v="5.6"/>
  </r>
  <r>
    <s v="262-47-2794"/>
    <x v="2"/>
    <x v="2"/>
    <x v="0"/>
    <x v="1"/>
    <x v="2"/>
    <x v="147"/>
    <x v="2"/>
    <n v="28.744"/>
    <n v="603.62400000000002"/>
    <x v="43"/>
    <x v="133"/>
    <x v="2"/>
    <n v="574.88"/>
    <n v="4.7619047620000003"/>
    <n v="28.744"/>
    <n v="6.2"/>
  </r>
  <r>
    <s v="238-49-0436"/>
    <x v="0"/>
    <x v="0"/>
    <x v="1"/>
    <x v="1"/>
    <x v="0"/>
    <x v="148"/>
    <x v="2"/>
    <n v="12.984"/>
    <n v="272.66399999999999"/>
    <x v="39"/>
    <x v="128"/>
    <x v="2"/>
    <n v="259.68"/>
    <n v="4.7619047620000003"/>
    <n v="12.984"/>
    <n v="4.9000000000000004"/>
  </r>
  <r>
    <s v="608-96-3517"/>
    <x v="2"/>
    <x v="2"/>
    <x v="0"/>
    <x v="0"/>
    <x v="5"/>
    <x v="149"/>
    <x v="7"/>
    <n v="18.308"/>
    <n v="384.46800000000002"/>
    <x v="28"/>
    <x v="25"/>
    <x v="2"/>
    <n v="366.16"/>
    <n v="4.7619047620000003"/>
    <n v="18.308"/>
    <n v="4.8"/>
  </r>
  <r>
    <s v="584-86-7256"/>
    <x v="1"/>
    <x v="1"/>
    <x v="0"/>
    <x v="1"/>
    <x v="3"/>
    <x v="23"/>
    <x v="0"/>
    <n v="12.096"/>
    <n v="254.01599999999999"/>
    <x v="16"/>
    <x v="134"/>
    <x v="2"/>
    <n v="241.92"/>
    <n v="4.7619047620000003"/>
    <n v="12.096"/>
    <n v="7.3"/>
  </r>
  <r>
    <s v="746-94-0204"/>
    <x v="0"/>
    <x v="0"/>
    <x v="1"/>
    <x v="1"/>
    <x v="5"/>
    <x v="150"/>
    <x v="9"/>
    <n v="37.457999999999998"/>
    <n v="786.61800000000005"/>
    <x v="71"/>
    <x v="135"/>
    <x v="2"/>
    <n v="749.16"/>
    <n v="4.7619047620000003"/>
    <n v="37.457999999999998"/>
    <n v="7.4"/>
  </r>
  <r>
    <s v="214-17-6927"/>
    <x v="1"/>
    <x v="1"/>
    <x v="1"/>
    <x v="0"/>
    <x v="4"/>
    <x v="151"/>
    <x v="3"/>
    <n v="4.944"/>
    <n v="103.824"/>
    <x v="13"/>
    <x v="136"/>
    <x v="0"/>
    <n v="98.88"/>
    <n v="4.7619047620000003"/>
    <n v="4.944"/>
    <n v="9.9"/>
  </r>
  <r>
    <s v="400-89-4171"/>
    <x v="1"/>
    <x v="1"/>
    <x v="1"/>
    <x v="0"/>
    <x v="3"/>
    <x v="152"/>
    <x v="2"/>
    <n v="32.387999999999998"/>
    <n v="680.14800000000002"/>
    <x v="26"/>
    <x v="137"/>
    <x v="1"/>
    <n v="647.76"/>
    <n v="4.7619047620000003"/>
    <n v="32.387999999999998"/>
    <n v="9.3000000000000007"/>
  </r>
  <r>
    <s v="782-95-9291"/>
    <x v="0"/>
    <x v="0"/>
    <x v="0"/>
    <x v="1"/>
    <x v="4"/>
    <x v="153"/>
    <x v="1"/>
    <n v="23.072500000000002"/>
    <n v="484.52249999999998"/>
    <x v="9"/>
    <x v="57"/>
    <x v="2"/>
    <n v="461.45"/>
    <n v="4.7619047620000003"/>
    <n v="23.072500000000002"/>
    <n v="9"/>
  </r>
  <r>
    <s v="279-74-2924"/>
    <x v="2"/>
    <x v="2"/>
    <x v="0"/>
    <x v="1"/>
    <x v="1"/>
    <x v="154"/>
    <x v="8"/>
    <n v="3.6084999999999998"/>
    <n v="75.778499999999994"/>
    <x v="72"/>
    <x v="138"/>
    <x v="1"/>
    <n v="72.17"/>
    <n v="4.7619047620000003"/>
    <n v="3.6084999999999998"/>
    <n v="6.1"/>
  </r>
  <r>
    <s v="307-85-2293"/>
    <x v="2"/>
    <x v="2"/>
    <x v="1"/>
    <x v="1"/>
    <x v="2"/>
    <x v="155"/>
    <x v="1"/>
    <n v="12.57"/>
    <n v="263.97000000000003"/>
    <x v="37"/>
    <x v="139"/>
    <x v="0"/>
    <n v="251.4"/>
    <n v="4.7619047620000003"/>
    <n v="12.57"/>
    <n v="9.6999999999999993"/>
  </r>
  <r>
    <s v="743-04-1105"/>
    <x v="2"/>
    <x v="2"/>
    <x v="0"/>
    <x v="1"/>
    <x v="0"/>
    <x v="156"/>
    <x v="9"/>
    <n v="43.749000000000002"/>
    <n v="918.72900000000004"/>
    <x v="73"/>
    <x v="140"/>
    <x v="0"/>
    <n v="874.98"/>
    <n v="4.7619047620000003"/>
    <n v="43.749000000000002"/>
    <n v="6"/>
  </r>
  <r>
    <s v="423-57-2993"/>
    <x v="2"/>
    <x v="2"/>
    <x v="1"/>
    <x v="1"/>
    <x v="3"/>
    <x v="157"/>
    <x v="3"/>
    <n v="28.016999999999999"/>
    <n v="588.35699999999997"/>
    <x v="39"/>
    <x v="141"/>
    <x v="0"/>
    <n v="560.34"/>
    <n v="4.7619047620000003"/>
    <n v="28.016999999999999"/>
    <n v="10"/>
  </r>
  <r>
    <s v="894-41-5205"/>
    <x v="1"/>
    <x v="1"/>
    <x v="1"/>
    <x v="0"/>
    <x v="4"/>
    <x v="158"/>
    <x v="2"/>
    <n v="17.271999999999998"/>
    <n v="362.71199999999999"/>
    <x v="64"/>
    <x v="30"/>
    <x v="2"/>
    <n v="345.44"/>
    <n v="4.7619047620000003"/>
    <n v="17.271999999999998"/>
    <n v="8.3000000000000007"/>
  </r>
  <r>
    <s v="275-28-0149"/>
    <x v="0"/>
    <x v="0"/>
    <x v="1"/>
    <x v="1"/>
    <x v="3"/>
    <x v="159"/>
    <x v="8"/>
    <n v="3.1844999999999999"/>
    <n v="66.874499999999998"/>
    <x v="6"/>
    <x v="142"/>
    <x v="1"/>
    <n v="63.69"/>
    <n v="4.7619047620000003"/>
    <n v="3.1844999999999999"/>
    <n v="6"/>
  </r>
  <r>
    <s v="101-17-6199"/>
    <x v="0"/>
    <x v="0"/>
    <x v="1"/>
    <x v="1"/>
    <x v="4"/>
    <x v="160"/>
    <x v="0"/>
    <n v="16.026499999999999"/>
    <n v="336.55650000000003"/>
    <x v="45"/>
    <x v="143"/>
    <x v="2"/>
    <n v="320.52999999999997"/>
    <n v="4.7619047620000003"/>
    <n v="16.026499999999999"/>
    <n v="7"/>
  </r>
  <r>
    <s v="423-80-0988"/>
    <x v="1"/>
    <x v="1"/>
    <x v="1"/>
    <x v="1"/>
    <x v="3"/>
    <x v="161"/>
    <x v="5"/>
    <n v="7.64"/>
    <n v="160.44"/>
    <x v="74"/>
    <x v="144"/>
    <x v="0"/>
    <n v="152.80000000000001"/>
    <n v="4.7619047620000003"/>
    <n v="7.64"/>
    <n v="6.5"/>
  </r>
  <r>
    <s v="548-46-9322"/>
    <x v="2"/>
    <x v="2"/>
    <x v="1"/>
    <x v="1"/>
    <x v="4"/>
    <x v="162"/>
    <x v="4"/>
    <n v="19.95"/>
    <n v="418.95"/>
    <x v="9"/>
    <x v="145"/>
    <x v="2"/>
    <n v="399"/>
    <n v="4.7619047620000003"/>
    <n v="19.95"/>
    <n v="5.9"/>
  </r>
  <r>
    <s v="505-02-0892"/>
    <x v="2"/>
    <x v="2"/>
    <x v="0"/>
    <x v="1"/>
    <x v="0"/>
    <x v="163"/>
    <x v="2"/>
    <n v="17.027999999999999"/>
    <n v="357.58800000000002"/>
    <x v="6"/>
    <x v="146"/>
    <x v="0"/>
    <n v="340.56"/>
    <n v="4.7619047620000003"/>
    <n v="17.027999999999999"/>
    <n v="5.6"/>
  </r>
  <r>
    <s v="234-65-2137"/>
    <x v="1"/>
    <x v="1"/>
    <x v="1"/>
    <x v="1"/>
    <x v="2"/>
    <x v="164"/>
    <x v="4"/>
    <n v="47.79"/>
    <n v="1003.59"/>
    <x v="65"/>
    <x v="147"/>
    <x v="1"/>
    <n v="955.8"/>
    <n v="4.7619047620000003"/>
    <n v="47.79"/>
    <n v="4.8"/>
  </r>
  <r>
    <s v="687-47-8271"/>
    <x v="0"/>
    <x v="0"/>
    <x v="1"/>
    <x v="1"/>
    <x v="5"/>
    <x v="165"/>
    <x v="4"/>
    <n v="49.49"/>
    <n v="1039.29"/>
    <x v="4"/>
    <x v="148"/>
    <x v="2"/>
    <n v="989.8"/>
    <n v="4.7619047620000003"/>
    <n v="49.49"/>
    <n v="8.6999999999999993"/>
  </r>
  <r>
    <s v="796-32-9050"/>
    <x v="0"/>
    <x v="0"/>
    <x v="1"/>
    <x v="1"/>
    <x v="4"/>
    <x v="166"/>
    <x v="3"/>
    <n v="15.384"/>
    <n v="323.06400000000002"/>
    <x v="64"/>
    <x v="149"/>
    <x v="1"/>
    <n v="307.68"/>
    <n v="4.7619047620000003"/>
    <n v="15.384"/>
    <n v="6.5"/>
  </r>
  <r>
    <s v="105-31-1824"/>
    <x v="0"/>
    <x v="0"/>
    <x v="0"/>
    <x v="1"/>
    <x v="3"/>
    <x v="167"/>
    <x v="0"/>
    <n v="24.332000000000001"/>
    <n v="510.97199999999998"/>
    <x v="60"/>
    <x v="50"/>
    <x v="2"/>
    <n v="486.64"/>
    <n v="4.7619047620000003"/>
    <n v="24.332000000000001"/>
    <n v="8.5"/>
  </r>
  <r>
    <s v="249-42-3782"/>
    <x v="0"/>
    <x v="0"/>
    <x v="1"/>
    <x v="1"/>
    <x v="0"/>
    <x v="168"/>
    <x v="1"/>
    <n v="17.502500000000001"/>
    <n v="367.55250000000001"/>
    <x v="75"/>
    <x v="150"/>
    <x v="0"/>
    <n v="350.05"/>
    <n v="4.7619047620000003"/>
    <n v="17.502500000000001"/>
    <n v="5.5"/>
  </r>
  <r>
    <s v="316-55-4634"/>
    <x v="2"/>
    <x v="2"/>
    <x v="0"/>
    <x v="1"/>
    <x v="4"/>
    <x v="169"/>
    <x v="1"/>
    <n v="20.012499999999999"/>
    <n v="420.26249999999999"/>
    <x v="53"/>
    <x v="47"/>
    <x v="2"/>
    <n v="400.25"/>
    <n v="4.7619047620000003"/>
    <n v="20.012499999999999"/>
    <n v="9.4"/>
  </r>
  <r>
    <s v="733-33-4967"/>
    <x v="1"/>
    <x v="1"/>
    <x v="1"/>
    <x v="1"/>
    <x v="1"/>
    <x v="170"/>
    <x v="2"/>
    <n v="8.34"/>
    <n v="175.14"/>
    <x v="2"/>
    <x v="151"/>
    <x v="1"/>
    <n v="166.8"/>
    <n v="4.7619047620000003"/>
    <n v="8.34"/>
    <n v="6.3"/>
  </r>
  <r>
    <s v="608-27-6295"/>
    <x v="2"/>
    <x v="2"/>
    <x v="0"/>
    <x v="1"/>
    <x v="1"/>
    <x v="171"/>
    <x v="3"/>
    <n v="15.867000000000001"/>
    <n v="333.20699999999999"/>
    <x v="64"/>
    <x v="152"/>
    <x v="2"/>
    <n v="317.33999999999997"/>
    <n v="4.7619047620000003"/>
    <n v="15.867000000000001"/>
    <n v="9.8000000000000007"/>
  </r>
  <r>
    <s v="414-12-7047"/>
    <x v="2"/>
    <x v="2"/>
    <x v="1"/>
    <x v="1"/>
    <x v="4"/>
    <x v="172"/>
    <x v="2"/>
    <n v="7.9160000000000004"/>
    <n v="166.23599999999999"/>
    <x v="68"/>
    <x v="153"/>
    <x v="0"/>
    <n v="158.32"/>
    <n v="4.7619047620000003"/>
    <n v="7.9160000000000004"/>
    <n v="8.6999999999999993"/>
  </r>
  <r>
    <s v="827-26-2100"/>
    <x v="0"/>
    <x v="0"/>
    <x v="0"/>
    <x v="1"/>
    <x v="2"/>
    <x v="173"/>
    <x v="9"/>
    <n v="15.228"/>
    <n v="319.78800000000001"/>
    <x v="76"/>
    <x v="142"/>
    <x v="0"/>
    <n v="304.56"/>
    <n v="4.7619047620000003"/>
    <n v="15.228"/>
    <n v="8.8000000000000007"/>
  </r>
  <r>
    <s v="175-54-2529"/>
    <x v="0"/>
    <x v="0"/>
    <x v="0"/>
    <x v="1"/>
    <x v="4"/>
    <x v="174"/>
    <x v="2"/>
    <n v="8.8680000000000003"/>
    <n v="186.22800000000001"/>
    <x v="2"/>
    <x v="154"/>
    <x v="2"/>
    <n v="177.36"/>
    <n v="4.7619047620000003"/>
    <n v="8.8680000000000003"/>
    <n v="9.6"/>
  </r>
  <r>
    <s v="139-52-2867"/>
    <x v="1"/>
    <x v="1"/>
    <x v="1"/>
    <x v="0"/>
    <x v="5"/>
    <x v="175"/>
    <x v="0"/>
    <n v="7.8784999999999998"/>
    <n v="165.4485"/>
    <x v="77"/>
    <x v="155"/>
    <x v="2"/>
    <n v="157.57"/>
    <n v="4.7619047620000003"/>
    <n v="7.8784999999999998"/>
    <n v="4.8"/>
  </r>
  <r>
    <s v="407-63-8975"/>
    <x v="0"/>
    <x v="0"/>
    <x v="1"/>
    <x v="1"/>
    <x v="4"/>
    <x v="176"/>
    <x v="3"/>
    <n v="22.164000000000001"/>
    <n v="465.44400000000002"/>
    <x v="28"/>
    <x v="156"/>
    <x v="0"/>
    <n v="443.28"/>
    <n v="4.7619047620000003"/>
    <n v="22.164000000000001"/>
    <n v="4.4000000000000004"/>
  </r>
  <r>
    <s v="342-65-4817"/>
    <x v="1"/>
    <x v="1"/>
    <x v="0"/>
    <x v="1"/>
    <x v="0"/>
    <x v="177"/>
    <x v="6"/>
    <n v="13.02"/>
    <n v="273.42"/>
    <x v="26"/>
    <x v="157"/>
    <x v="0"/>
    <n v="260.39999999999998"/>
    <n v="4.7619047620000003"/>
    <n v="13.02"/>
    <n v="9.9"/>
  </r>
  <r>
    <s v="130-98-8941"/>
    <x v="1"/>
    <x v="1"/>
    <x v="1"/>
    <x v="1"/>
    <x v="5"/>
    <x v="178"/>
    <x v="0"/>
    <n v="22.491"/>
    <n v="472.31099999999998"/>
    <x v="57"/>
    <x v="158"/>
    <x v="1"/>
    <n v="449.82"/>
    <n v="4.7619047620000003"/>
    <n v="22.491"/>
    <n v="5.7"/>
  </r>
  <r>
    <s v="434-83-9547"/>
    <x v="1"/>
    <x v="1"/>
    <x v="0"/>
    <x v="1"/>
    <x v="4"/>
    <x v="179"/>
    <x v="2"/>
    <n v="15.388"/>
    <n v="323.14800000000002"/>
    <x v="54"/>
    <x v="159"/>
    <x v="1"/>
    <n v="307.76"/>
    <n v="4.7619047620000003"/>
    <n v="15.388"/>
    <n v="7.7"/>
  </r>
  <r>
    <s v="851-28-6367"/>
    <x v="0"/>
    <x v="0"/>
    <x v="0"/>
    <x v="1"/>
    <x v="3"/>
    <x v="180"/>
    <x v="4"/>
    <n v="7.75"/>
    <n v="162.75"/>
    <x v="28"/>
    <x v="60"/>
    <x v="0"/>
    <n v="155"/>
    <n v="4.7619047620000003"/>
    <n v="7.75"/>
    <n v="8"/>
  </r>
  <r>
    <s v="824-88-3614"/>
    <x v="1"/>
    <x v="1"/>
    <x v="1"/>
    <x v="1"/>
    <x v="0"/>
    <x v="181"/>
    <x v="2"/>
    <n v="13.724"/>
    <n v="288.20400000000001"/>
    <x v="25"/>
    <x v="160"/>
    <x v="0"/>
    <n v="274.48"/>
    <n v="4.7619047620000003"/>
    <n v="13.724"/>
    <n v="5.7"/>
  </r>
  <r>
    <s v="586-25-0848"/>
    <x v="0"/>
    <x v="0"/>
    <x v="1"/>
    <x v="0"/>
    <x v="3"/>
    <x v="182"/>
    <x v="0"/>
    <n v="4.319"/>
    <n v="90.698999999999998"/>
    <x v="31"/>
    <x v="161"/>
    <x v="2"/>
    <n v="86.38"/>
    <n v="4.7619047620000003"/>
    <n v="4.319"/>
    <n v="6.7"/>
  </r>
  <r>
    <s v="895-66-0685"/>
    <x v="2"/>
    <x v="2"/>
    <x v="0"/>
    <x v="1"/>
    <x v="4"/>
    <x v="183"/>
    <x v="6"/>
    <n v="2.7120000000000002"/>
    <n v="56.951999999999998"/>
    <x v="19"/>
    <x v="162"/>
    <x v="0"/>
    <n v="54.24"/>
    <n v="4.7619047620000003"/>
    <n v="2.7120000000000002"/>
    <n v="8"/>
  </r>
  <r>
    <s v="305-14-0245"/>
    <x v="2"/>
    <x v="2"/>
    <x v="0"/>
    <x v="0"/>
    <x v="2"/>
    <x v="184"/>
    <x v="2"/>
    <n v="37.795999999999999"/>
    <n v="793.71600000000001"/>
    <x v="2"/>
    <x v="163"/>
    <x v="0"/>
    <n v="755.92"/>
    <n v="4.7619047620000003"/>
    <n v="37.795999999999999"/>
    <n v="7.5"/>
  </r>
  <r>
    <s v="732-04-5373"/>
    <x v="2"/>
    <x v="2"/>
    <x v="0"/>
    <x v="1"/>
    <x v="2"/>
    <x v="185"/>
    <x v="7"/>
    <n v="9.2940000000000005"/>
    <n v="195.17400000000001"/>
    <x v="4"/>
    <x v="164"/>
    <x v="1"/>
    <n v="185.88"/>
    <n v="4.7619047620000003"/>
    <n v="9.2940000000000005"/>
    <n v="7"/>
  </r>
  <r>
    <s v="400-60-7251"/>
    <x v="0"/>
    <x v="0"/>
    <x v="1"/>
    <x v="1"/>
    <x v="2"/>
    <x v="186"/>
    <x v="8"/>
    <n v="3.7035"/>
    <n v="77.773499999999999"/>
    <x v="34"/>
    <x v="165"/>
    <x v="0"/>
    <n v="74.069999999999993"/>
    <n v="4.7619047620000003"/>
    <n v="3.7035"/>
    <n v="9.9"/>
  </r>
  <r>
    <s v="593-65-1552"/>
    <x v="1"/>
    <x v="1"/>
    <x v="1"/>
    <x v="0"/>
    <x v="2"/>
    <x v="187"/>
    <x v="7"/>
    <n v="13.962"/>
    <n v="293.202"/>
    <x v="26"/>
    <x v="166"/>
    <x v="2"/>
    <n v="279.24"/>
    <n v="4.7619047620000003"/>
    <n v="13.962"/>
    <n v="5.9"/>
  </r>
  <r>
    <s v="284-34-9626"/>
    <x v="2"/>
    <x v="2"/>
    <x v="1"/>
    <x v="0"/>
    <x v="2"/>
    <x v="188"/>
    <x v="6"/>
    <n v="11.555999999999999"/>
    <n v="242.67599999999999"/>
    <x v="48"/>
    <x v="17"/>
    <x v="2"/>
    <n v="231.12"/>
    <n v="4.7619047620000003"/>
    <n v="11.555999999999999"/>
    <n v="7.2"/>
  </r>
  <r>
    <s v="437-58-8131"/>
    <x v="2"/>
    <x v="2"/>
    <x v="1"/>
    <x v="0"/>
    <x v="5"/>
    <x v="189"/>
    <x v="5"/>
    <n v="7.3520000000000003"/>
    <n v="154.392"/>
    <x v="15"/>
    <x v="167"/>
    <x v="0"/>
    <n v="147.04"/>
    <n v="4.7619047620000003"/>
    <n v="7.3520000000000003"/>
    <n v="4.5999999999999996"/>
  </r>
  <r>
    <s v="286-43-6208"/>
    <x v="1"/>
    <x v="1"/>
    <x v="1"/>
    <x v="0"/>
    <x v="4"/>
    <x v="190"/>
    <x v="9"/>
    <n v="39.51"/>
    <n v="829.71"/>
    <x v="32"/>
    <x v="168"/>
    <x v="1"/>
    <n v="790.2"/>
    <n v="4.7619047620000003"/>
    <n v="39.51"/>
    <n v="9.1999999999999993"/>
  </r>
  <r>
    <s v="641-43-2399"/>
    <x v="2"/>
    <x v="2"/>
    <x v="1"/>
    <x v="1"/>
    <x v="2"/>
    <x v="191"/>
    <x v="7"/>
    <n v="5.1100000000000003"/>
    <n v="107.31"/>
    <x v="53"/>
    <x v="169"/>
    <x v="0"/>
    <n v="102.2"/>
    <n v="4.7619047620000003"/>
    <n v="5.1100000000000003"/>
    <n v="5.7"/>
  </r>
  <r>
    <s v="831-07-6050"/>
    <x v="0"/>
    <x v="0"/>
    <x v="1"/>
    <x v="1"/>
    <x v="1"/>
    <x v="192"/>
    <x v="1"/>
    <n v="8.1775000000000002"/>
    <n v="171.72749999999999"/>
    <x v="35"/>
    <x v="170"/>
    <x v="2"/>
    <n v="163.55000000000001"/>
    <n v="4.7619047620000003"/>
    <n v="8.1775000000000002"/>
    <n v="9.9"/>
  </r>
  <r>
    <s v="556-86-3144"/>
    <x v="1"/>
    <x v="1"/>
    <x v="0"/>
    <x v="0"/>
    <x v="5"/>
    <x v="193"/>
    <x v="8"/>
    <n v="3.7145000000000001"/>
    <n v="78.004499999999993"/>
    <x v="50"/>
    <x v="171"/>
    <x v="1"/>
    <n v="74.290000000000006"/>
    <n v="4.7619047620000003"/>
    <n v="3.7145000000000001"/>
    <n v="5"/>
  </r>
  <r>
    <s v="848-24-9445"/>
    <x v="1"/>
    <x v="1"/>
    <x v="0"/>
    <x v="1"/>
    <x v="0"/>
    <x v="194"/>
    <x v="5"/>
    <n v="4.37"/>
    <n v="91.77"/>
    <x v="58"/>
    <x v="172"/>
    <x v="1"/>
    <n v="87.4"/>
    <n v="4.7619047620000003"/>
    <n v="4.37"/>
    <n v="4.9000000000000004"/>
  </r>
  <r>
    <s v="856-22-8149"/>
    <x v="0"/>
    <x v="0"/>
    <x v="1"/>
    <x v="0"/>
    <x v="2"/>
    <x v="195"/>
    <x v="8"/>
    <n v="1.2645"/>
    <n v="26.554500000000001"/>
    <x v="28"/>
    <x v="173"/>
    <x v="0"/>
    <n v="25.29"/>
    <n v="4.7619047620000003"/>
    <n v="1.2645"/>
    <n v="6.1"/>
  </r>
  <r>
    <s v="699-01-4164"/>
    <x v="1"/>
    <x v="1"/>
    <x v="1"/>
    <x v="1"/>
    <x v="0"/>
    <x v="196"/>
    <x v="7"/>
    <n v="8.3000000000000007"/>
    <n v="174.3"/>
    <x v="41"/>
    <x v="174"/>
    <x v="2"/>
    <n v="166"/>
    <n v="4.7619047620000003"/>
    <n v="8.3000000000000007"/>
    <n v="8.1999999999999993"/>
  </r>
  <r>
    <s v="420-11-4919"/>
    <x v="1"/>
    <x v="1"/>
    <x v="0"/>
    <x v="0"/>
    <x v="4"/>
    <x v="197"/>
    <x v="1"/>
    <n v="17.8475"/>
    <n v="374.79750000000001"/>
    <x v="21"/>
    <x v="129"/>
    <x v="2"/>
    <n v="356.95"/>
    <n v="4.7619047620000003"/>
    <n v="17.8475"/>
    <n v="5.5"/>
  </r>
  <r>
    <s v="606-80-4905"/>
    <x v="1"/>
    <x v="1"/>
    <x v="0"/>
    <x v="0"/>
    <x v="3"/>
    <x v="198"/>
    <x v="3"/>
    <n v="5.7450000000000001"/>
    <n v="120.645"/>
    <x v="71"/>
    <x v="175"/>
    <x v="2"/>
    <n v="114.9"/>
    <n v="4.7619047620000003"/>
    <n v="5.7450000000000001"/>
    <n v="6.8"/>
  </r>
  <r>
    <s v="542-41-0513"/>
    <x v="2"/>
    <x v="2"/>
    <x v="0"/>
    <x v="0"/>
    <x v="1"/>
    <x v="199"/>
    <x v="7"/>
    <n v="11.497999999999999"/>
    <n v="241.458"/>
    <x v="20"/>
    <x v="176"/>
    <x v="1"/>
    <n v="229.96"/>
    <n v="4.7619047620000003"/>
    <n v="11.497999999999999"/>
    <n v="6.6"/>
  </r>
  <r>
    <s v="426-39-2418"/>
    <x v="1"/>
    <x v="1"/>
    <x v="1"/>
    <x v="1"/>
    <x v="1"/>
    <x v="200"/>
    <x v="0"/>
    <n v="21.493500000000001"/>
    <n v="451.36349999999999"/>
    <x v="78"/>
    <x v="177"/>
    <x v="1"/>
    <n v="429.87"/>
    <n v="4.7619047620000003"/>
    <n v="21.493500000000001"/>
    <n v="9.8000000000000007"/>
  </r>
  <r>
    <s v="875-46-5808"/>
    <x v="2"/>
    <x v="2"/>
    <x v="0"/>
    <x v="1"/>
    <x v="0"/>
    <x v="201"/>
    <x v="4"/>
    <n v="12.95"/>
    <n v="271.95"/>
    <x v="10"/>
    <x v="178"/>
    <x v="0"/>
    <n v="259"/>
    <n v="4.7619047620000003"/>
    <n v="12.95"/>
    <n v="8.6999999999999993"/>
  </r>
  <r>
    <s v="394-43-4238"/>
    <x v="2"/>
    <x v="2"/>
    <x v="0"/>
    <x v="1"/>
    <x v="2"/>
    <x v="202"/>
    <x v="1"/>
    <n v="4.4424999999999999"/>
    <n v="93.292500000000004"/>
    <x v="42"/>
    <x v="179"/>
    <x v="2"/>
    <n v="88.85"/>
    <n v="4.7619047620000003"/>
    <n v="4.4424999999999999"/>
    <n v="5.4"/>
  </r>
  <r>
    <s v="749-24-1565"/>
    <x v="0"/>
    <x v="0"/>
    <x v="1"/>
    <x v="0"/>
    <x v="0"/>
    <x v="203"/>
    <x v="9"/>
    <n v="10.3635"/>
    <n v="217.6335"/>
    <x v="75"/>
    <x v="110"/>
    <x v="0"/>
    <n v="207.27"/>
    <n v="4.7619047620000003"/>
    <n v="10.3635"/>
    <n v="7.9"/>
  </r>
  <r>
    <s v="672-51-8681"/>
    <x v="1"/>
    <x v="1"/>
    <x v="0"/>
    <x v="0"/>
    <x v="1"/>
    <x v="204"/>
    <x v="9"/>
    <n v="29.9925"/>
    <n v="629.84249999999997"/>
    <x v="72"/>
    <x v="96"/>
    <x v="2"/>
    <n v="599.85"/>
    <n v="4.7619047620000003"/>
    <n v="29.9925"/>
    <n v="9.6999999999999993"/>
  </r>
  <r>
    <s v="263-87-5680"/>
    <x v="1"/>
    <x v="1"/>
    <x v="0"/>
    <x v="0"/>
    <x v="2"/>
    <x v="205"/>
    <x v="4"/>
    <n v="14.265000000000001"/>
    <n v="299.565"/>
    <x v="79"/>
    <x v="180"/>
    <x v="0"/>
    <n v="285.3"/>
    <n v="4.7619047620000003"/>
    <n v="14.265000000000001"/>
    <n v="7.8"/>
  </r>
  <r>
    <s v="573-58-9734"/>
    <x v="2"/>
    <x v="2"/>
    <x v="1"/>
    <x v="0"/>
    <x v="5"/>
    <x v="206"/>
    <x v="6"/>
    <n v="4.5555000000000003"/>
    <n v="95.665499999999994"/>
    <x v="61"/>
    <x v="167"/>
    <x v="0"/>
    <n v="91.11"/>
    <n v="4.7619047620000003"/>
    <n v="4.5555000000000003"/>
    <n v="5.0999999999999996"/>
  </r>
  <r>
    <s v="817-69-8206"/>
    <x v="2"/>
    <x v="2"/>
    <x v="1"/>
    <x v="0"/>
    <x v="1"/>
    <x v="207"/>
    <x v="9"/>
    <n v="44.878500000000003"/>
    <n v="942.44849999999997"/>
    <x v="22"/>
    <x v="144"/>
    <x v="2"/>
    <n v="897.57"/>
    <n v="4.7619047620000003"/>
    <n v="44.878500000000003"/>
    <n v="6.5"/>
  </r>
  <r>
    <s v="888-02-0338"/>
    <x v="0"/>
    <x v="0"/>
    <x v="1"/>
    <x v="1"/>
    <x v="1"/>
    <x v="208"/>
    <x v="9"/>
    <n v="11.8035"/>
    <n v="247.87350000000001"/>
    <x v="25"/>
    <x v="181"/>
    <x v="0"/>
    <n v="236.07"/>
    <n v="4.7619047620000003"/>
    <n v="11.8035"/>
    <n v="5.9"/>
  </r>
  <r>
    <s v="677-11-0152"/>
    <x v="1"/>
    <x v="1"/>
    <x v="1"/>
    <x v="0"/>
    <x v="4"/>
    <x v="209"/>
    <x v="9"/>
    <n v="41.966999999999999"/>
    <n v="881.30700000000002"/>
    <x v="65"/>
    <x v="182"/>
    <x v="1"/>
    <n v="839.34"/>
    <n v="4.7619047620000003"/>
    <n v="41.966999999999999"/>
    <n v="8.8000000000000007"/>
  </r>
  <r>
    <s v="142-63-6033"/>
    <x v="2"/>
    <x v="2"/>
    <x v="1"/>
    <x v="1"/>
    <x v="2"/>
    <x v="210"/>
    <x v="1"/>
    <n v="23.09"/>
    <n v="484.89"/>
    <x v="80"/>
    <x v="151"/>
    <x v="0"/>
    <n v="461.8"/>
    <n v="4.7619047620000003"/>
    <n v="23.09"/>
    <n v="4.9000000000000004"/>
  </r>
  <r>
    <s v="656-16-1063"/>
    <x v="2"/>
    <x v="2"/>
    <x v="1"/>
    <x v="1"/>
    <x v="3"/>
    <x v="211"/>
    <x v="6"/>
    <n v="6.9630000000000001"/>
    <n v="146.22300000000001"/>
    <x v="72"/>
    <x v="38"/>
    <x v="2"/>
    <n v="139.26"/>
    <n v="4.7619047620000003"/>
    <n v="6.9630000000000001"/>
    <n v="4.4000000000000004"/>
  </r>
  <r>
    <s v="891-58-8335"/>
    <x v="2"/>
    <x v="2"/>
    <x v="0"/>
    <x v="0"/>
    <x v="3"/>
    <x v="212"/>
    <x v="0"/>
    <n v="10.3635"/>
    <n v="217.6335"/>
    <x v="16"/>
    <x v="183"/>
    <x v="1"/>
    <n v="207.27"/>
    <n v="4.7619047620000003"/>
    <n v="10.3635"/>
    <n v="6.5"/>
  </r>
  <r>
    <s v="802-43-8934"/>
    <x v="0"/>
    <x v="0"/>
    <x v="1"/>
    <x v="1"/>
    <x v="2"/>
    <x v="213"/>
    <x v="8"/>
    <n v="0.91400000000000003"/>
    <n v="19.193999999999999"/>
    <x v="23"/>
    <x v="184"/>
    <x v="2"/>
    <n v="18.28"/>
    <n v="4.7619047620000003"/>
    <n v="0.91400000000000003"/>
    <n v="8.3000000000000007"/>
  </r>
  <r>
    <s v="560-30-5617"/>
    <x v="2"/>
    <x v="2"/>
    <x v="1"/>
    <x v="0"/>
    <x v="3"/>
    <x v="214"/>
    <x v="1"/>
    <n v="6.1924999999999999"/>
    <n v="130.04249999999999"/>
    <x v="62"/>
    <x v="185"/>
    <x v="1"/>
    <n v="123.85"/>
    <n v="4.7619047620000003"/>
    <n v="6.1924999999999999"/>
    <n v="8.5"/>
  </r>
  <r>
    <s v="319-74-2561"/>
    <x v="0"/>
    <x v="0"/>
    <x v="0"/>
    <x v="0"/>
    <x v="1"/>
    <x v="215"/>
    <x v="6"/>
    <n v="14.196"/>
    <n v="298.11599999999999"/>
    <x v="81"/>
    <x v="186"/>
    <x v="1"/>
    <n v="283.92"/>
    <n v="4.7619047620000003"/>
    <n v="14.196"/>
    <n v="5.5"/>
  </r>
  <r>
    <s v="549-03-9315"/>
    <x v="2"/>
    <x v="2"/>
    <x v="1"/>
    <x v="1"/>
    <x v="5"/>
    <x v="216"/>
    <x v="2"/>
    <n v="37.948"/>
    <n v="796.90800000000002"/>
    <x v="12"/>
    <x v="187"/>
    <x v="0"/>
    <n v="758.96"/>
    <n v="4.7619047620000003"/>
    <n v="37.948"/>
    <n v="8.6999999999999993"/>
  </r>
  <r>
    <s v="790-29-1172"/>
    <x v="2"/>
    <x v="2"/>
    <x v="1"/>
    <x v="0"/>
    <x v="4"/>
    <x v="217"/>
    <x v="6"/>
    <n v="8.6010000000000009"/>
    <n v="180.62100000000001"/>
    <x v="24"/>
    <x v="188"/>
    <x v="2"/>
    <n v="172.02"/>
    <n v="4.7619047620000003"/>
    <n v="8.6010000000000009"/>
    <n v="7.9"/>
  </r>
  <r>
    <s v="239-36-3640"/>
    <x v="2"/>
    <x v="2"/>
    <x v="1"/>
    <x v="1"/>
    <x v="1"/>
    <x v="218"/>
    <x v="3"/>
    <n v="13.605"/>
    <n v="285.70499999999998"/>
    <x v="82"/>
    <x v="189"/>
    <x v="0"/>
    <n v="272.10000000000002"/>
    <n v="4.7619047620000003"/>
    <n v="13.605"/>
    <n v="6.1"/>
  </r>
  <r>
    <s v="468-01-2051"/>
    <x v="2"/>
    <x v="2"/>
    <x v="1"/>
    <x v="1"/>
    <x v="4"/>
    <x v="219"/>
    <x v="0"/>
    <n v="21.728000000000002"/>
    <n v="456.28800000000001"/>
    <x v="43"/>
    <x v="190"/>
    <x v="0"/>
    <n v="434.56"/>
    <n v="4.7619047620000003"/>
    <n v="21.728000000000002"/>
    <n v="5.4"/>
  </r>
  <r>
    <s v="389-25-3394"/>
    <x v="1"/>
    <x v="1"/>
    <x v="1"/>
    <x v="1"/>
    <x v="1"/>
    <x v="220"/>
    <x v="1"/>
    <n v="2.9525000000000001"/>
    <n v="62.002499999999998"/>
    <x v="21"/>
    <x v="191"/>
    <x v="1"/>
    <n v="59.05"/>
    <n v="4.7619047620000003"/>
    <n v="2.9525000000000001"/>
    <n v="9.4"/>
  </r>
  <r>
    <s v="279-62-1445"/>
    <x v="1"/>
    <x v="1"/>
    <x v="0"/>
    <x v="0"/>
    <x v="5"/>
    <x v="221"/>
    <x v="8"/>
    <n v="0.627"/>
    <n v="13.167"/>
    <x v="81"/>
    <x v="192"/>
    <x v="1"/>
    <n v="12.54"/>
    <n v="4.7619047620000003"/>
    <n v="0.627"/>
    <n v="8.1999999999999993"/>
  </r>
  <r>
    <s v="213-72-6612"/>
    <x v="0"/>
    <x v="0"/>
    <x v="1"/>
    <x v="1"/>
    <x v="4"/>
    <x v="222"/>
    <x v="5"/>
    <n v="4.3250000000000002"/>
    <n v="90.825000000000003"/>
    <x v="80"/>
    <x v="193"/>
    <x v="1"/>
    <n v="86.5"/>
    <n v="4.7619047620000003"/>
    <n v="4.3250000000000002"/>
    <n v="6.2"/>
  </r>
  <r>
    <s v="746-68-6593"/>
    <x v="1"/>
    <x v="1"/>
    <x v="0"/>
    <x v="0"/>
    <x v="3"/>
    <x v="223"/>
    <x v="5"/>
    <n v="8.7159999999999993"/>
    <n v="183.036"/>
    <x v="83"/>
    <x v="194"/>
    <x v="2"/>
    <n v="174.32"/>
    <n v="4.7619047620000003"/>
    <n v="8.7159999999999993"/>
    <n v="9.6999999999999993"/>
  </r>
  <r>
    <s v="836-82-5858"/>
    <x v="2"/>
    <x v="2"/>
    <x v="0"/>
    <x v="1"/>
    <x v="0"/>
    <x v="224"/>
    <x v="9"/>
    <n v="31.2165"/>
    <n v="655.54650000000004"/>
    <x v="53"/>
    <x v="195"/>
    <x v="0"/>
    <n v="624.33000000000004"/>
    <n v="4.7619047620000003"/>
    <n v="31.2165"/>
    <n v="4"/>
  </r>
  <r>
    <s v="583-72-1480"/>
    <x v="1"/>
    <x v="1"/>
    <x v="0"/>
    <x v="1"/>
    <x v="1"/>
    <x v="225"/>
    <x v="7"/>
    <n v="7.4119999999999999"/>
    <n v="155.65199999999999"/>
    <x v="82"/>
    <x v="75"/>
    <x v="0"/>
    <n v="148.24"/>
    <n v="4.7619047620000003"/>
    <n v="7.4119999999999999"/>
    <n v="9.6999999999999993"/>
  </r>
  <r>
    <s v="466-61-5506"/>
    <x v="2"/>
    <x v="2"/>
    <x v="0"/>
    <x v="0"/>
    <x v="1"/>
    <x v="226"/>
    <x v="3"/>
    <n v="27.21"/>
    <n v="571.41"/>
    <x v="84"/>
    <x v="196"/>
    <x v="1"/>
    <n v="544.20000000000005"/>
    <n v="4.7619047620000003"/>
    <n v="27.21"/>
    <n v="5.3"/>
  </r>
  <r>
    <s v="721-86-6247"/>
    <x v="0"/>
    <x v="0"/>
    <x v="1"/>
    <x v="0"/>
    <x v="2"/>
    <x v="227"/>
    <x v="2"/>
    <n v="25.367999999999999"/>
    <n v="532.72799999999995"/>
    <x v="16"/>
    <x v="197"/>
    <x v="0"/>
    <n v="507.36"/>
    <n v="4.7619047620000003"/>
    <n v="25.367999999999999"/>
    <n v="7.4"/>
  </r>
  <r>
    <s v="289-65-5721"/>
    <x v="2"/>
    <x v="2"/>
    <x v="1"/>
    <x v="0"/>
    <x v="5"/>
    <x v="228"/>
    <x v="5"/>
    <n v="8.1370000000000005"/>
    <n v="170.87700000000001"/>
    <x v="53"/>
    <x v="198"/>
    <x v="1"/>
    <n v="162.74"/>
    <n v="4.7619047620000003"/>
    <n v="8.1370000000000005"/>
    <n v="6.5"/>
  </r>
  <r>
    <s v="545-46-3100"/>
    <x v="2"/>
    <x v="2"/>
    <x v="0"/>
    <x v="0"/>
    <x v="1"/>
    <x v="229"/>
    <x v="6"/>
    <n v="1.5885"/>
    <n v="33.358499999999999"/>
    <x v="41"/>
    <x v="199"/>
    <x v="2"/>
    <n v="31.77"/>
    <n v="4.7619047620000003"/>
    <n v="1.5885"/>
    <n v="8.6999999999999993"/>
  </r>
  <r>
    <s v="418-02-5978"/>
    <x v="2"/>
    <x v="2"/>
    <x v="1"/>
    <x v="0"/>
    <x v="0"/>
    <x v="230"/>
    <x v="9"/>
    <n v="37.840499999999999"/>
    <n v="794.65049999999997"/>
    <x v="48"/>
    <x v="200"/>
    <x v="1"/>
    <n v="756.81"/>
    <n v="4.7619047620000003"/>
    <n v="37.840499999999999"/>
    <n v="8"/>
  </r>
  <r>
    <s v="269-04-5750"/>
    <x v="2"/>
    <x v="2"/>
    <x v="0"/>
    <x v="1"/>
    <x v="5"/>
    <x v="231"/>
    <x v="7"/>
    <n v="14.763999999999999"/>
    <n v="310.04399999999998"/>
    <x v="81"/>
    <x v="201"/>
    <x v="1"/>
    <n v="295.27999999999997"/>
    <n v="4.7619047620000003"/>
    <n v="14.763999999999999"/>
    <n v="6.7"/>
  </r>
  <r>
    <s v="157-13-5295"/>
    <x v="0"/>
    <x v="0"/>
    <x v="0"/>
    <x v="1"/>
    <x v="0"/>
    <x v="232"/>
    <x v="4"/>
    <n v="25.97"/>
    <n v="545.37"/>
    <x v="11"/>
    <x v="202"/>
    <x v="0"/>
    <n v="519.4"/>
    <n v="4.7619047620000003"/>
    <n v="25.97"/>
    <n v="6.5"/>
  </r>
  <r>
    <s v="645-78-8093"/>
    <x v="0"/>
    <x v="0"/>
    <x v="1"/>
    <x v="0"/>
    <x v="3"/>
    <x v="233"/>
    <x v="5"/>
    <n v="9.3140000000000001"/>
    <n v="195.59399999999999"/>
    <x v="40"/>
    <x v="203"/>
    <x v="0"/>
    <n v="186.28"/>
    <n v="4.7619047620000003"/>
    <n v="9.3140000000000001"/>
    <n v="4.0999999999999996"/>
  </r>
  <r>
    <s v="211-30-9270"/>
    <x v="1"/>
    <x v="1"/>
    <x v="1"/>
    <x v="1"/>
    <x v="0"/>
    <x v="234"/>
    <x v="1"/>
    <n v="4.3525"/>
    <n v="91.402500000000003"/>
    <x v="26"/>
    <x v="204"/>
    <x v="2"/>
    <n v="87.05"/>
    <n v="4.7619047620000003"/>
    <n v="4.3525"/>
    <n v="4.9000000000000004"/>
  </r>
  <r>
    <s v="755-12-3214"/>
    <x v="1"/>
    <x v="1"/>
    <x v="0"/>
    <x v="0"/>
    <x v="5"/>
    <x v="235"/>
    <x v="1"/>
    <n v="11.055"/>
    <n v="232.155"/>
    <x v="19"/>
    <x v="205"/>
    <x v="2"/>
    <n v="221.1"/>
    <n v="4.7619047620000003"/>
    <n v="11.055"/>
    <n v="8.6"/>
  </r>
  <r>
    <s v="346-84-3103"/>
    <x v="2"/>
    <x v="2"/>
    <x v="0"/>
    <x v="0"/>
    <x v="1"/>
    <x v="236"/>
    <x v="1"/>
    <n v="3.3050000000000002"/>
    <n v="69.405000000000001"/>
    <x v="22"/>
    <x v="206"/>
    <x v="1"/>
    <n v="66.099999999999994"/>
    <n v="4.7619047620000003"/>
    <n v="3.3050000000000002"/>
    <n v="4.3"/>
  </r>
  <r>
    <s v="478-06-7835"/>
    <x v="0"/>
    <x v="0"/>
    <x v="1"/>
    <x v="1"/>
    <x v="5"/>
    <x v="237"/>
    <x v="8"/>
    <n v="4.4844999999999997"/>
    <n v="94.174499999999995"/>
    <x v="83"/>
    <x v="207"/>
    <x v="0"/>
    <n v="89.69"/>
    <n v="4.7619047620000003"/>
    <n v="4.4844999999999997"/>
    <n v="4.9000000000000004"/>
  </r>
  <r>
    <s v="540-11-4336"/>
    <x v="0"/>
    <x v="0"/>
    <x v="1"/>
    <x v="1"/>
    <x v="4"/>
    <x v="238"/>
    <x v="9"/>
    <n v="11.223000000000001"/>
    <n v="235.68299999999999"/>
    <x v="83"/>
    <x v="208"/>
    <x v="2"/>
    <n v="224.46"/>
    <n v="4.7619047620000003"/>
    <n v="11.223000000000001"/>
    <n v="5.6"/>
  </r>
  <r>
    <s v="448-81-5016"/>
    <x v="0"/>
    <x v="0"/>
    <x v="1"/>
    <x v="1"/>
    <x v="0"/>
    <x v="239"/>
    <x v="5"/>
    <n v="5.9770000000000003"/>
    <n v="125.517"/>
    <x v="16"/>
    <x v="209"/>
    <x v="2"/>
    <n v="119.54"/>
    <n v="4.7619047620000003"/>
    <n v="5.9770000000000003"/>
    <n v="5.8"/>
  </r>
  <r>
    <s v="142-72-4741"/>
    <x v="1"/>
    <x v="1"/>
    <x v="0"/>
    <x v="1"/>
    <x v="5"/>
    <x v="240"/>
    <x v="5"/>
    <n v="9.32"/>
    <n v="195.72"/>
    <x v="38"/>
    <x v="78"/>
    <x v="2"/>
    <n v="186.4"/>
    <n v="4.7619047620000003"/>
    <n v="9.32"/>
    <n v="6"/>
  </r>
  <r>
    <s v="217-58-1179"/>
    <x v="0"/>
    <x v="0"/>
    <x v="0"/>
    <x v="1"/>
    <x v="2"/>
    <x v="241"/>
    <x v="7"/>
    <n v="12.53"/>
    <n v="263.13"/>
    <x v="0"/>
    <x v="210"/>
    <x v="1"/>
    <n v="250.6"/>
    <n v="4.7619047620000003"/>
    <n v="12.53"/>
    <n v="4.2"/>
  </r>
  <r>
    <s v="376-02-8238"/>
    <x v="2"/>
    <x v="2"/>
    <x v="1"/>
    <x v="1"/>
    <x v="2"/>
    <x v="242"/>
    <x v="2"/>
    <n v="37.548000000000002"/>
    <n v="788.50800000000004"/>
    <x v="30"/>
    <x v="211"/>
    <x v="2"/>
    <n v="750.96"/>
    <n v="4.7619047620000003"/>
    <n v="37.548000000000002"/>
    <n v="8.3000000000000007"/>
  </r>
  <r>
    <s v="530-90-9855"/>
    <x v="0"/>
    <x v="0"/>
    <x v="0"/>
    <x v="1"/>
    <x v="2"/>
    <x v="243"/>
    <x v="2"/>
    <n v="19.036000000000001"/>
    <n v="399.75599999999997"/>
    <x v="17"/>
    <x v="212"/>
    <x v="1"/>
    <n v="380.72"/>
    <n v="4.7619047620000003"/>
    <n v="19.036000000000001"/>
    <n v="5.7"/>
  </r>
  <r>
    <s v="866-05-7563"/>
    <x v="2"/>
    <x v="2"/>
    <x v="0"/>
    <x v="0"/>
    <x v="1"/>
    <x v="244"/>
    <x v="6"/>
    <n v="12.21"/>
    <n v="256.41000000000003"/>
    <x v="57"/>
    <x v="213"/>
    <x v="1"/>
    <n v="244.2"/>
    <n v="4.7619047620000003"/>
    <n v="12.21"/>
    <n v="4.8"/>
  </r>
  <r>
    <s v="604-70-6476"/>
    <x v="0"/>
    <x v="0"/>
    <x v="0"/>
    <x v="1"/>
    <x v="5"/>
    <x v="245"/>
    <x v="1"/>
    <n v="4.4850000000000003"/>
    <n v="94.185000000000002"/>
    <x v="54"/>
    <x v="214"/>
    <x v="0"/>
    <n v="89.7"/>
    <n v="4.7619047620000003"/>
    <n v="4.4850000000000003"/>
    <n v="6.8"/>
  </r>
  <r>
    <s v="799-71-1548"/>
    <x v="0"/>
    <x v="0"/>
    <x v="0"/>
    <x v="1"/>
    <x v="1"/>
    <x v="246"/>
    <x v="7"/>
    <n v="15.544"/>
    <n v="326.42399999999998"/>
    <x v="27"/>
    <x v="215"/>
    <x v="2"/>
    <n v="310.88"/>
    <n v="4.7619047620000003"/>
    <n v="15.544"/>
    <n v="8.8000000000000007"/>
  </r>
  <r>
    <s v="785-13-7708"/>
    <x v="2"/>
    <x v="2"/>
    <x v="1"/>
    <x v="1"/>
    <x v="4"/>
    <x v="247"/>
    <x v="0"/>
    <n v="25.571000000000002"/>
    <n v="536.99099999999999"/>
    <x v="78"/>
    <x v="216"/>
    <x v="2"/>
    <n v="511.42"/>
    <n v="4.7619047620000003"/>
    <n v="25.571000000000002"/>
    <n v="4.2"/>
  </r>
  <r>
    <s v="845-51-0542"/>
    <x v="2"/>
    <x v="2"/>
    <x v="0"/>
    <x v="1"/>
    <x v="4"/>
    <x v="248"/>
    <x v="9"/>
    <n v="20.947500000000002"/>
    <n v="439.89749999999998"/>
    <x v="30"/>
    <x v="217"/>
    <x v="0"/>
    <n v="418.95"/>
    <n v="4.7619047620000003"/>
    <n v="20.947500000000002"/>
    <n v="6.4"/>
  </r>
  <r>
    <s v="662-47-5456"/>
    <x v="1"/>
    <x v="1"/>
    <x v="0"/>
    <x v="1"/>
    <x v="5"/>
    <x v="249"/>
    <x v="4"/>
    <n v="17.594999999999999"/>
    <n v="369.495"/>
    <x v="85"/>
    <x v="216"/>
    <x v="2"/>
    <n v="351.9"/>
    <n v="4.7619047620000003"/>
    <n v="17.594999999999999"/>
    <n v="8.4"/>
  </r>
  <r>
    <s v="883-17-4236"/>
    <x v="1"/>
    <x v="1"/>
    <x v="1"/>
    <x v="0"/>
    <x v="3"/>
    <x v="250"/>
    <x v="5"/>
    <n v="1.4390000000000001"/>
    <n v="30.219000000000001"/>
    <x v="22"/>
    <x v="143"/>
    <x v="2"/>
    <n v="28.78"/>
    <n v="4.7619047620000003"/>
    <n v="1.4390000000000001"/>
    <n v="7.2"/>
  </r>
  <r>
    <s v="290-68-2984"/>
    <x v="0"/>
    <x v="0"/>
    <x v="1"/>
    <x v="1"/>
    <x v="2"/>
    <x v="251"/>
    <x v="7"/>
    <n v="4.75"/>
    <n v="99.75"/>
    <x v="32"/>
    <x v="218"/>
    <x v="1"/>
    <n v="95"/>
    <n v="4.7619047620000003"/>
    <n v="4.75"/>
    <n v="5.2"/>
  </r>
  <r>
    <s v="704-11-6354"/>
    <x v="0"/>
    <x v="0"/>
    <x v="0"/>
    <x v="1"/>
    <x v="2"/>
    <x v="252"/>
    <x v="2"/>
    <n v="23.56"/>
    <n v="494.76"/>
    <x v="47"/>
    <x v="219"/>
    <x v="1"/>
    <n v="471.2"/>
    <n v="4.7619047620000003"/>
    <n v="23.56"/>
    <n v="8.9"/>
  </r>
  <r>
    <s v="110-48-7033"/>
    <x v="2"/>
    <x v="2"/>
    <x v="0"/>
    <x v="1"/>
    <x v="5"/>
    <x v="253"/>
    <x v="7"/>
    <n v="6.524"/>
    <n v="137.00399999999999"/>
    <x v="71"/>
    <x v="146"/>
    <x v="1"/>
    <n v="130.47999999999999"/>
    <n v="4.7619047620000003"/>
    <n v="6.524"/>
    <n v="9"/>
  </r>
  <r>
    <s v="366-93-0948"/>
    <x v="0"/>
    <x v="0"/>
    <x v="0"/>
    <x v="1"/>
    <x v="1"/>
    <x v="254"/>
    <x v="8"/>
    <n v="3.3174999999999999"/>
    <n v="69.667500000000004"/>
    <x v="82"/>
    <x v="220"/>
    <x v="2"/>
    <n v="66.349999999999994"/>
    <n v="4.7619047620000003"/>
    <n v="3.3174999999999999"/>
    <n v="9.6999999999999993"/>
  </r>
  <r>
    <s v="729-09-9681"/>
    <x v="0"/>
    <x v="0"/>
    <x v="0"/>
    <x v="1"/>
    <x v="2"/>
    <x v="255"/>
    <x v="3"/>
    <n v="7.7729999999999997"/>
    <n v="163.233"/>
    <x v="63"/>
    <x v="91"/>
    <x v="0"/>
    <n v="155.46"/>
    <n v="4.7619047620000003"/>
    <n v="7.7729999999999997"/>
    <n v="8.6999999999999993"/>
  </r>
  <r>
    <s v="151-16-1484"/>
    <x v="0"/>
    <x v="0"/>
    <x v="0"/>
    <x v="1"/>
    <x v="1"/>
    <x v="125"/>
    <x v="7"/>
    <n v="6.45"/>
    <n v="135.44999999999999"/>
    <x v="77"/>
    <x v="192"/>
    <x v="0"/>
    <n v="129"/>
    <n v="4.7619047620000003"/>
    <n v="6.45"/>
    <n v="6.5"/>
  </r>
  <r>
    <s v="380-94-4661"/>
    <x v="1"/>
    <x v="1"/>
    <x v="0"/>
    <x v="1"/>
    <x v="1"/>
    <x v="256"/>
    <x v="7"/>
    <n v="13.188000000000001"/>
    <n v="276.94799999999998"/>
    <x v="13"/>
    <x v="137"/>
    <x v="2"/>
    <n v="263.76"/>
    <n v="4.7619047620000003"/>
    <n v="13.188000000000001"/>
    <n v="6.9"/>
  </r>
  <r>
    <s v="850-41-9669"/>
    <x v="0"/>
    <x v="0"/>
    <x v="1"/>
    <x v="0"/>
    <x v="1"/>
    <x v="257"/>
    <x v="9"/>
    <n v="33.777000000000001"/>
    <n v="709.31700000000001"/>
    <x v="35"/>
    <x v="221"/>
    <x v="0"/>
    <n v="675.54"/>
    <n v="4.7619047620000003"/>
    <n v="33.777000000000001"/>
    <n v="6.2"/>
  </r>
  <r>
    <s v="821-07-3596"/>
    <x v="1"/>
    <x v="1"/>
    <x v="1"/>
    <x v="0"/>
    <x v="5"/>
    <x v="258"/>
    <x v="7"/>
    <n v="3.29"/>
    <n v="69.09"/>
    <x v="37"/>
    <x v="222"/>
    <x v="0"/>
    <n v="65.8"/>
    <n v="4.7619047620000003"/>
    <n v="3.29"/>
    <n v="5.6"/>
  </r>
  <r>
    <s v="655-85-5130"/>
    <x v="2"/>
    <x v="2"/>
    <x v="0"/>
    <x v="0"/>
    <x v="5"/>
    <x v="259"/>
    <x v="7"/>
    <n v="7.66"/>
    <n v="160.86000000000001"/>
    <x v="45"/>
    <x v="223"/>
    <x v="1"/>
    <n v="153.19999999999999"/>
    <n v="4.7619047620000003"/>
    <n v="7.66"/>
    <n v="5.7"/>
  </r>
  <r>
    <s v="447-15-7839"/>
    <x v="0"/>
    <x v="0"/>
    <x v="0"/>
    <x v="0"/>
    <x v="3"/>
    <x v="260"/>
    <x v="4"/>
    <n v="11.12"/>
    <n v="233.52"/>
    <x v="57"/>
    <x v="224"/>
    <x v="1"/>
    <n v="222.4"/>
    <n v="4.7619047620000003"/>
    <n v="11.12"/>
    <n v="4.2"/>
  </r>
  <r>
    <s v="154-74-7179"/>
    <x v="2"/>
    <x v="2"/>
    <x v="1"/>
    <x v="1"/>
    <x v="3"/>
    <x v="261"/>
    <x v="8"/>
    <n v="2.7225000000000001"/>
    <n v="57.172499999999999"/>
    <x v="84"/>
    <x v="225"/>
    <x v="0"/>
    <n v="54.45"/>
    <n v="4.7619047620000003"/>
    <n v="2.7225000000000001"/>
    <n v="7.9"/>
  </r>
  <r>
    <s v="253-12-6086"/>
    <x v="0"/>
    <x v="0"/>
    <x v="0"/>
    <x v="0"/>
    <x v="3"/>
    <x v="262"/>
    <x v="0"/>
    <n v="34.44"/>
    <n v="723.24"/>
    <x v="41"/>
    <x v="31"/>
    <x v="2"/>
    <n v="688.8"/>
    <n v="4.7619047620000003"/>
    <n v="34.44"/>
    <n v="8.6999999999999993"/>
  </r>
  <r>
    <s v="808-65-0703"/>
    <x v="1"/>
    <x v="1"/>
    <x v="1"/>
    <x v="1"/>
    <x v="2"/>
    <x v="263"/>
    <x v="7"/>
    <n v="7.0940000000000003"/>
    <n v="148.97399999999999"/>
    <x v="86"/>
    <x v="226"/>
    <x v="2"/>
    <n v="141.88"/>
    <n v="4.7619047620000003"/>
    <n v="7.0940000000000003"/>
    <n v="6.9"/>
  </r>
  <r>
    <s v="571-94-0759"/>
    <x v="2"/>
    <x v="2"/>
    <x v="0"/>
    <x v="0"/>
    <x v="4"/>
    <x v="264"/>
    <x v="4"/>
    <n v="37.299999999999997"/>
    <n v="783.3"/>
    <x v="66"/>
    <x v="227"/>
    <x v="1"/>
    <n v="746"/>
    <n v="4.7619047620000003"/>
    <n v="37.299999999999997"/>
    <n v="9.5"/>
  </r>
  <r>
    <s v="144-51-6085"/>
    <x v="0"/>
    <x v="0"/>
    <x v="0"/>
    <x v="1"/>
    <x v="2"/>
    <x v="265"/>
    <x v="7"/>
    <n v="14.148"/>
    <n v="297.108"/>
    <x v="0"/>
    <x v="228"/>
    <x v="2"/>
    <n v="282.95999999999998"/>
    <n v="4.7619047620000003"/>
    <n v="14.148"/>
    <n v="4.4000000000000004"/>
  </r>
  <r>
    <s v="731-14-2199"/>
    <x v="0"/>
    <x v="0"/>
    <x v="0"/>
    <x v="0"/>
    <x v="2"/>
    <x v="266"/>
    <x v="4"/>
    <n v="17.77"/>
    <n v="373.17"/>
    <x v="72"/>
    <x v="229"/>
    <x v="0"/>
    <n v="355.4"/>
    <n v="4.7619047620000003"/>
    <n v="17.77"/>
    <n v="7"/>
  </r>
  <r>
    <s v="783-09-1637"/>
    <x v="2"/>
    <x v="2"/>
    <x v="1"/>
    <x v="0"/>
    <x v="3"/>
    <x v="267"/>
    <x v="1"/>
    <n v="16.857500000000002"/>
    <n v="354.00749999999999"/>
    <x v="43"/>
    <x v="230"/>
    <x v="0"/>
    <n v="337.15"/>
    <n v="4.7619047620000003"/>
    <n v="16.857500000000002"/>
    <n v="6.3"/>
  </r>
  <r>
    <s v="687-15-1097"/>
    <x v="1"/>
    <x v="1"/>
    <x v="0"/>
    <x v="0"/>
    <x v="0"/>
    <x v="268"/>
    <x v="5"/>
    <n v="2.1120000000000001"/>
    <n v="44.351999999999997"/>
    <x v="75"/>
    <x v="151"/>
    <x v="1"/>
    <n v="42.24"/>
    <n v="4.7619047620000003"/>
    <n v="2.1120000000000001"/>
    <n v="9.6999999999999993"/>
  </r>
  <r>
    <s v="126-54-1082"/>
    <x v="0"/>
    <x v="0"/>
    <x v="0"/>
    <x v="0"/>
    <x v="2"/>
    <x v="269"/>
    <x v="9"/>
    <n v="9.6929999999999996"/>
    <n v="203.553"/>
    <x v="27"/>
    <x v="231"/>
    <x v="2"/>
    <n v="193.86"/>
    <n v="4.7619047620000003"/>
    <n v="9.6929999999999996"/>
    <n v="8.8000000000000007"/>
  </r>
  <r>
    <s v="633-91-1052"/>
    <x v="0"/>
    <x v="0"/>
    <x v="1"/>
    <x v="0"/>
    <x v="2"/>
    <x v="270"/>
    <x v="5"/>
    <n v="1.2030000000000001"/>
    <n v="25.263000000000002"/>
    <x v="3"/>
    <x v="232"/>
    <x v="1"/>
    <n v="24.06"/>
    <n v="4.7619047620000003"/>
    <n v="1.2030000000000001"/>
    <n v="5.0999999999999996"/>
  </r>
  <r>
    <s v="477-24-6490"/>
    <x v="2"/>
    <x v="2"/>
    <x v="1"/>
    <x v="0"/>
    <x v="0"/>
    <x v="271"/>
    <x v="3"/>
    <n v="29.913"/>
    <n v="628.173"/>
    <x v="84"/>
    <x v="233"/>
    <x v="0"/>
    <n v="598.26"/>
    <n v="4.7619047620000003"/>
    <n v="29.913"/>
    <n v="7.9"/>
  </r>
  <r>
    <s v="566-19-5475"/>
    <x v="2"/>
    <x v="2"/>
    <x v="1"/>
    <x v="1"/>
    <x v="5"/>
    <x v="272"/>
    <x v="0"/>
    <n v="16.7895"/>
    <n v="352.5795"/>
    <x v="27"/>
    <x v="234"/>
    <x v="1"/>
    <n v="335.79"/>
    <n v="4.7619047620000003"/>
    <n v="16.7895"/>
    <n v="6.2"/>
  </r>
  <r>
    <s v="526-86-8552"/>
    <x v="1"/>
    <x v="1"/>
    <x v="0"/>
    <x v="0"/>
    <x v="2"/>
    <x v="273"/>
    <x v="4"/>
    <n v="10.91"/>
    <n v="229.11"/>
    <x v="27"/>
    <x v="24"/>
    <x v="1"/>
    <n v="218.2"/>
    <n v="4.7619047620000003"/>
    <n v="10.91"/>
    <n v="7.1"/>
  </r>
  <r>
    <s v="376-56-3573"/>
    <x v="1"/>
    <x v="1"/>
    <x v="1"/>
    <x v="0"/>
    <x v="5"/>
    <x v="274"/>
    <x v="7"/>
    <n v="19.084"/>
    <n v="400.76400000000001"/>
    <x v="30"/>
    <x v="2"/>
    <x v="0"/>
    <n v="381.68"/>
    <n v="4.7619047620000003"/>
    <n v="19.084"/>
    <n v="6.4"/>
  </r>
  <r>
    <s v="537-72-0426"/>
    <x v="1"/>
    <x v="1"/>
    <x v="0"/>
    <x v="1"/>
    <x v="5"/>
    <x v="275"/>
    <x v="4"/>
    <n v="35.494999999999997"/>
    <n v="745.39499999999998"/>
    <x v="80"/>
    <x v="235"/>
    <x v="1"/>
    <n v="709.9"/>
    <n v="4.7619047620000003"/>
    <n v="35.494999999999997"/>
    <n v="5.7"/>
  </r>
  <r>
    <s v="828-61-5674"/>
    <x v="0"/>
    <x v="0"/>
    <x v="0"/>
    <x v="1"/>
    <x v="3"/>
    <x v="276"/>
    <x v="4"/>
    <n v="22.01"/>
    <n v="462.21"/>
    <x v="80"/>
    <x v="129"/>
    <x v="2"/>
    <n v="440.2"/>
    <n v="4.7619047620000003"/>
    <n v="22.01"/>
    <n v="9.6"/>
  </r>
  <r>
    <s v="136-08-6195"/>
    <x v="0"/>
    <x v="0"/>
    <x v="1"/>
    <x v="0"/>
    <x v="2"/>
    <x v="277"/>
    <x v="2"/>
    <n v="27.984000000000002"/>
    <n v="587.66399999999999"/>
    <x v="42"/>
    <x v="154"/>
    <x v="2"/>
    <n v="559.67999999999995"/>
    <n v="4.7619047620000003"/>
    <n v="27.984000000000002"/>
    <n v="6.4"/>
  </r>
  <r>
    <s v="523-38-0215"/>
    <x v="1"/>
    <x v="1"/>
    <x v="1"/>
    <x v="1"/>
    <x v="2"/>
    <x v="278"/>
    <x v="8"/>
    <n v="1.85"/>
    <n v="38.85"/>
    <x v="43"/>
    <x v="236"/>
    <x v="2"/>
    <n v="37"/>
    <n v="4.7619047620000003"/>
    <n v="1.85"/>
    <n v="7.9"/>
  </r>
  <r>
    <s v="490-29-1201"/>
    <x v="0"/>
    <x v="0"/>
    <x v="1"/>
    <x v="0"/>
    <x v="3"/>
    <x v="279"/>
    <x v="8"/>
    <n v="0.76700000000000002"/>
    <n v="16.106999999999999"/>
    <x v="47"/>
    <x v="237"/>
    <x v="1"/>
    <n v="15.34"/>
    <n v="4.7619047620000003"/>
    <n v="0.76700000000000002"/>
    <n v="6.5"/>
  </r>
  <r>
    <s v="667-92-0055"/>
    <x v="0"/>
    <x v="0"/>
    <x v="0"/>
    <x v="1"/>
    <x v="0"/>
    <x v="280"/>
    <x v="3"/>
    <n v="29.949000000000002"/>
    <n v="628.92899999999997"/>
    <x v="31"/>
    <x v="238"/>
    <x v="0"/>
    <n v="598.98"/>
    <n v="4.7619047620000003"/>
    <n v="29.949000000000002"/>
    <n v="8.5"/>
  </r>
  <r>
    <s v="565-17-3836"/>
    <x v="0"/>
    <x v="0"/>
    <x v="0"/>
    <x v="0"/>
    <x v="0"/>
    <x v="281"/>
    <x v="7"/>
    <n v="9.5340000000000007"/>
    <n v="200.214"/>
    <x v="41"/>
    <x v="239"/>
    <x v="1"/>
    <n v="190.68"/>
    <n v="4.7619047620000003"/>
    <n v="9.5340000000000007"/>
    <n v="9.1"/>
  </r>
  <r>
    <s v="498-41-1961"/>
    <x v="2"/>
    <x v="2"/>
    <x v="1"/>
    <x v="1"/>
    <x v="0"/>
    <x v="282"/>
    <x v="1"/>
    <n v="16.670000000000002"/>
    <n v="350.07"/>
    <x v="9"/>
    <x v="240"/>
    <x v="1"/>
    <n v="333.4"/>
    <n v="4.7619047620000003"/>
    <n v="16.670000000000002"/>
    <n v="7.6"/>
  </r>
  <r>
    <s v="593-95-4461"/>
    <x v="1"/>
    <x v="1"/>
    <x v="0"/>
    <x v="1"/>
    <x v="2"/>
    <x v="283"/>
    <x v="8"/>
    <n v="3.7429999999999999"/>
    <n v="78.602999999999994"/>
    <x v="62"/>
    <x v="32"/>
    <x v="1"/>
    <n v="74.86"/>
    <n v="4.7619047620000003"/>
    <n v="3.7429999999999999"/>
    <n v="6.9"/>
  </r>
  <r>
    <s v="226-71-3580"/>
    <x v="1"/>
    <x v="1"/>
    <x v="1"/>
    <x v="0"/>
    <x v="3"/>
    <x v="251"/>
    <x v="9"/>
    <n v="10.6875"/>
    <n v="224.4375"/>
    <x v="82"/>
    <x v="110"/>
    <x v="1"/>
    <n v="213.75"/>
    <n v="4.7619047620000003"/>
    <n v="10.6875"/>
    <n v="9.5"/>
  </r>
  <r>
    <s v="283-79-9594"/>
    <x v="2"/>
    <x v="2"/>
    <x v="1"/>
    <x v="0"/>
    <x v="4"/>
    <x v="284"/>
    <x v="0"/>
    <n v="16.9785"/>
    <n v="356.54849999999999"/>
    <x v="25"/>
    <x v="241"/>
    <x v="2"/>
    <n v="339.57"/>
    <n v="4.7619047620000003"/>
    <n v="16.9785"/>
    <n v="5.2"/>
  </r>
  <r>
    <s v="430-60-3493"/>
    <x v="0"/>
    <x v="0"/>
    <x v="0"/>
    <x v="0"/>
    <x v="2"/>
    <x v="285"/>
    <x v="0"/>
    <n v="33.207999999999998"/>
    <n v="697.36800000000005"/>
    <x v="36"/>
    <x v="242"/>
    <x v="1"/>
    <n v="664.16"/>
    <n v="4.7619047620000003"/>
    <n v="33.207999999999998"/>
    <n v="4.2"/>
  </r>
  <r>
    <s v="139-20-0155"/>
    <x v="2"/>
    <x v="2"/>
    <x v="0"/>
    <x v="1"/>
    <x v="1"/>
    <x v="19"/>
    <x v="4"/>
    <n v="20.149999999999999"/>
    <n v="423.15"/>
    <x v="46"/>
    <x v="243"/>
    <x v="2"/>
    <n v="403"/>
    <n v="4.7619047620000003"/>
    <n v="20.149999999999999"/>
    <n v="7"/>
  </r>
  <r>
    <s v="558-80-4082"/>
    <x v="1"/>
    <x v="1"/>
    <x v="1"/>
    <x v="1"/>
    <x v="1"/>
    <x v="286"/>
    <x v="0"/>
    <n v="9.7475000000000005"/>
    <n v="204.69749999999999"/>
    <x v="86"/>
    <x v="244"/>
    <x v="0"/>
    <n v="194.95"/>
    <n v="4.7619047620000003"/>
    <n v="9.7475000000000005"/>
    <n v="6"/>
  </r>
  <r>
    <s v="278-97-7759"/>
    <x v="0"/>
    <x v="0"/>
    <x v="0"/>
    <x v="0"/>
    <x v="1"/>
    <x v="287"/>
    <x v="8"/>
    <n v="3.1240000000000001"/>
    <n v="65.603999999999999"/>
    <x v="67"/>
    <x v="245"/>
    <x v="1"/>
    <n v="62.48"/>
    <n v="4.7619047620000003"/>
    <n v="3.1240000000000001"/>
    <n v="4.7"/>
  </r>
  <r>
    <s v="316-68-6352"/>
    <x v="0"/>
    <x v="0"/>
    <x v="0"/>
    <x v="0"/>
    <x v="4"/>
    <x v="288"/>
    <x v="5"/>
    <n v="3.6360000000000001"/>
    <n v="76.355999999999995"/>
    <x v="18"/>
    <x v="158"/>
    <x v="1"/>
    <n v="72.72"/>
    <n v="4.7619047620000003"/>
    <n v="3.6360000000000001"/>
    <n v="7.1"/>
  </r>
  <r>
    <s v="585-03-5943"/>
    <x v="2"/>
    <x v="2"/>
    <x v="1"/>
    <x v="1"/>
    <x v="0"/>
    <x v="289"/>
    <x v="4"/>
    <n v="9.0549999999999997"/>
    <n v="190.155"/>
    <x v="45"/>
    <x v="246"/>
    <x v="0"/>
    <n v="181.1"/>
    <n v="4.7619047620000003"/>
    <n v="9.0549999999999997"/>
    <n v="5.9"/>
  </r>
  <r>
    <s v="211-05-0490"/>
    <x v="1"/>
    <x v="1"/>
    <x v="0"/>
    <x v="0"/>
    <x v="1"/>
    <x v="290"/>
    <x v="1"/>
    <n v="12.98"/>
    <n v="272.58"/>
    <x v="2"/>
    <x v="247"/>
    <x v="1"/>
    <n v="259.60000000000002"/>
    <n v="4.7619047620000003"/>
    <n v="12.98"/>
    <n v="7.5"/>
  </r>
  <r>
    <s v="727-75-6477"/>
    <x v="1"/>
    <x v="1"/>
    <x v="1"/>
    <x v="1"/>
    <x v="1"/>
    <x v="291"/>
    <x v="7"/>
    <n v="5.7679999999999998"/>
    <n v="121.128"/>
    <x v="14"/>
    <x v="248"/>
    <x v="1"/>
    <n v="115.36"/>
    <n v="4.7619047620000003"/>
    <n v="5.7679999999999998"/>
    <n v="6.4"/>
  </r>
  <r>
    <s v="744-02-5987"/>
    <x v="0"/>
    <x v="0"/>
    <x v="0"/>
    <x v="1"/>
    <x v="2"/>
    <x v="292"/>
    <x v="3"/>
    <n v="23.513999999999999"/>
    <n v="493.79399999999998"/>
    <x v="8"/>
    <x v="249"/>
    <x v="0"/>
    <n v="470.28"/>
    <n v="4.7619047620000003"/>
    <n v="23.513999999999999"/>
    <n v="5.8"/>
  </r>
  <r>
    <s v="307-83-9164"/>
    <x v="0"/>
    <x v="0"/>
    <x v="0"/>
    <x v="1"/>
    <x v="2"/>
    <x v="293"/>
    <x v="7"/>
    <n v="12.002000000000001"/>
    <n v="252.042"/>
    <x v="25"/>
    <x v="250"/>
    <x v="1"/>
    <n v="240.04"/>
    <n v="4.7619047620000003"/>
    <n v="12.002000000000001"/>
    <n v="4.5"/>
  </r>
  <r>
    <s v="779-06-0012"/>
    <x v="1"/>
    <x v="1"/>
    <x v="0"/>
    <x v="0"/>
    <x v="2"/>
    <x v="294"/>
    <x v="8"/>
    <n v="4.4305000000000003"/>
    <n v="93.040499999999994"/>
    <x v="64"/>
    <x v="251"/>
    <x v="1"/>
    <n v="88.61"/>
    <n v="4.7619047620000003"/>
    <n v="4.4305000000000003"/>
    <n v="7.7"/>
  </r>
  <r>
    <s v="446-47-6729"/>
    <x v="1"/>
    <x v="1"/>
    <x v="1"/>
    <x v="1"/>
    <x v="5"/>
    <x v="295"/>
    <x v="5"/>
    <n v="9.9819999999999993"/>
    <n v="209.62200000000001"/>
    <x v="56"/>
    <x v="203"/>
    <x v="2"/>
    <n v="199.64"/>
    <n v="4.7619047620000003"/>
    <n v="9.9819999999999993"/>
    <n v="6.7"/>
  </r>
  <r>
    <s v="573-10-3877"/>
    <x v="2"/>
    <x v="2"/>
    <x v="0"/>
    <x v="1"/>
    <x v="0"/>
    <x v="296"/>
    <x v="8"/>
    <n v="1.9504999999999999"/>
    <n v="40.960500000000003"/>
    <x v="41"/>
    <x v="252"/>
    <x v="2"/>
    <n v="39.01"/>
    <n v="4.7619047620000003"/>
    <n v="1.9504999999999999"/>
    <n v="4.7"/>
  </r>
  <r>
    <s v="735-06-4124"/>
    <x v="1"/>
    <x v="1"/>
    <x v="1"/>
    <x v="1"/>
    <x v="4"/>
    <x v="297"/>
    <x v="8"/>
    <n v="2.4304999999999999"/>
    <n v="51.040500000000002"/>
    <x v="6"/>
    <x v="26"/>
    <x v="1"/>
    <n v="48.61"/>
    <n v="4.7619047620000003"/>
    <n v="2.4304999999999999"/>
    <n v="4.4000000000000004"/>
  </r>
  <r>
    <s v="439-54-7422"/>
    <x v="0"/>
    <x v="0"/>
    <x v="1"/>
    <x v="0"/>
    <x v="1"/>
    <x v="298"/>
    <x v="7"/>
    <n v="10.238"/>
    <n v="214.99799999999999"/>
    <x v="79"/>
    <x v="8"/>
    <x v="2"/>
    <n v="204.76"/>
    <n v="4.7619047620000003"/>
    <n v="10.238"/>
    <n v="4.7"/>
  </r>
  <r>
    <s v="396-90-2219"/>
    <x v="2"/>
    <x v="2"/>
    <x v="1"/>
    <x v="0"/>
    <x v="1"/>
    <x v="299"/>
    <x v="2"/>
    <n v="5.984"/>
    <n v="125.664"/>
    <x v="55"/>
    <x v="107"/>
    <x v="1"/>
    <n v="119.68"/>
    <n v="4.7619047620000003"/>
    <n v="5.984"/>
    <n v="8.6"/>
  </r>
  <r>
    <s v="411-77-0180"/>
    <x v="0"/>
    <x v="0"/>
    <x v="0"/>
    <x v="1"/>
    <x v="1"/>
    <x v="300"/>
    <x v="0"/>
    <n v="25.27"/>
    <n v="530.66999999999996"/>
    <x v="58"/>
    <x v="253"/>
    <x v="0"/>
    <n v="505.4"/>
    <n v="4.7619047620000003"/>
    <n v="25.27"/>
    <n v="4.3"/>
  </r>
  <r>
    <s v="286-01-5402"/>
    <x v="0"/>
    <x v="0"/>
    <x v="1"/>
    <x v="0"/>
    <x v="3"/>
    <x v="301"/>
    <x v="0"/>
    <n v="14.080500000000001"/>
    <n v="295.69049999999999"/>
    <x v="73"/>
    <x v="93"/>
    <x v="1"/>
    <n v="281.61"/>
    <n v="4.7619047620000003"/>
    <n v="14.080500000000001"/>
    <n v="9.6"/>
  </r>
  <r>
    <s v="803-17-8013"/>
    <x v="0"/>
    <x v="0"/>
    <x v="0"/>
    <x v="0"/>
    <x v="2"/>
    <x v="302"/>
    <x v="2"/>
    <n v="35.515999999999998"/>
    <n v="745.83600000000001"/>
    <x v="21"/>
    <x v="254"/>
    <x v="1"/>
    <n v="710.32"/>
    <n v="4.7619047620000003"/>
    <n v="35.515999999999998"/>
    <n v="4.0999999999999996"/>
  </r>
  <r>
    <s v="512-98-1403"/>
    <x v="0"/>
    <x v="0"/>
    <x v="0"/>
    <x v="0"/>
    <x v="1"/>
    <x v="303"/>
    <x v="6"/>
    <n v="3.972"/>
    <n v="83.412000000000006"/>
    <x v="76"/>
    <x v="21"/>
    <x v="0"/>
    <n v="79.44"/>
    <n v="4.7619047620000003"/>
    <n v="3.972"/>
    <n v="4.7"/>
  </r>
  <r>
    <s v="848-42-2560"/>
    <x v="0"/>
    <x v="0"/>
    <x v="1"/>
    <x v="0"/>
    <x v="5"/>
    <x v="304"/>
    <x v="5"/>
    <n v="8.1910000000000007"/>
    <n v="172.011"/>
    <x v="19"/>
    <x v="255"/>
    <x v="1"/>
    <n v="163.82"/>
    <n v="4.7619047620000003"/>
    <n v="8.1910000000000007"/>
    <n v="7.8"/>
  </r>
  <r>
    <s v="532-59-7201"/>
    <x v="2"/>
    <x v="2"/>
    <x v="0"/>
    <x v="1"/>
    <x v="3"/>
    <x v="305"/>
    <x v="3"/>
    <n v="23.978999999999999"/>
    <n v="503.55900000000003"/>
    <x v="82"/>
    <x v="214"/>
    <x v="1"/>
    <n v="479.58"/>
    <n v="4.7619047620000003"/>
    <n v="23.978999999999999"/>
    <n v="5.5"/>
  </r>
  <r>
    <s v="181-94-6432"/>
    <x v="1"/>
    <x v="1"/>
    <x v="0"/>
    <x v="1"/>
    <x v="5"/>
    <x v="306"/>
    <x v="5"/>
    <n v="6.9329999999999998"/>
    <n v="145.59299999999999"/>
    <x v="63"/>
    <x v="256"/>
    <x v="0"/>
    <n v="138.66"/>
    <n v="4.7619047620000003"/>
    <n v="6.9329999999999998"/>
    <n v="9.6999999999999993"/>
  </r>
  <r>
    <s v="870-76-1733"/>
    <x v="0"/>
    <x v="0"/>
    <x v="0"/>
    <x v="0"/>
    <x v="4"/>
    <x v="307"/>
    <x v="1"/>
    <n v="3.5575000000000001"/>
    <n v="74.707499999999996"/>
    <x v="60"/>
    <x v="257"/>
    <x v="2"/>
    <n v="71.150000000000006"/>
    <n v="4.7619047620000003"/>
    <n v="3.5575000000000001"/>
    <n v="4.4000000000000004"/>
  </r>
  <r>
    <s v="423-64-4619"/>
    <x v="0"/>
    <x v="0"/>
    <x v="0"/>
    <x v="0"/>
    <x v="0"/>
    <x v="308"/>
    <x v="9"/>
    <n v="6.9974999999999996"/>
    <n v="146.94749999999999"/>
    <x v="37"/>
    <x v="258"/>
    <x v="1"/>
    <n v="139.94999999999999"/>
    <n v="4.7619047620000003"/>
    <n v="6.9974999999999996"/>
    <n v="5"/>
  </r>
  <r>
    <s v="227-07-4446"/>
    <x v="1"/>
    <x v="1"/>
    <x v="0"/>
    <x v="0"/>
    <x v="1"/>
    <x v="309"/>
    <x v="4"/>
    <n v="39.064999999999998"/>
    <n v="820.36500000000001"/>
    <x v="34"/>
    <x v="259"/>
    <x v="1"/>
    <n v="781.3"/>
    <n v="4.7619047620000003"/>
    <n v="39.064999999999998"/>
    <n v="4.4000000000000004"/>
  </r>
  <r>
    <s v="174-36-3675"/>
    <x v="1"/>
    <x v="1"/>
    <x v="0"/>
    <x v="1"/>
    <x v="4"/>
    <x v="310"/>
    <x v="5"/>
    <n v="9.9369999999999994"/>
    <n v="208.67699999999999"/>
    <x v="44"/>
    <x v="260"/>
    <x v="1"/>
    <n v="198.74"/>
    <n v="4.7619047620000003"/>
    <n v="9.9369999999999994"/>
    <n v="5.2"/>
  </r>
  <r>
    <s v="428-83-5800"/>
    <x v="1"/>
    <x v="1"/>
    <x v="0"/>
    <x v="0"/>
    <x v="4"/>
    <x v="311"/>
    <x v="6"/>
    <n v="3.1619999999999999"/>
    <n v="66.402000000000001"/>
    <x v="57"/>
    <x v="12"/>
    <x v="1"/>
    <n v="63.24"/>
    <n v="4.7619047620000003"/>
    <n v="3.1619999999999999"/>
    <n v="7.3"/>
  </r>
  <r>
    <s v="603-07-0961"/>
    <x v="1"/>
    <x v="1"/>
    <x v="0"/>
    <x v="1"/>
    <x v="1"/>
    <x v="312"/>
    <x v="1"/>
    <n v="18.697500000000002"/>
    <n v="392.64749999999998"/>
    <x v="8"/>
    <x v="261"/>
    <x v="1"/>
    <n v="373.95"/>
    <n v="4.7619047620000003"/>
    <n v="18.697500000000002"/>
    <n v="4.9000000000000004"/>
  </r>
  <r>
    <s v="704-20-4138"/>
    <x v="1"/>
    <x v="1"/>
    <x v="0"/>
    <x v="0"/>
    <x v="0"/>
    <x v="313"/>
    <x v="0"/>
    <n v="10.384499999999999"/>
    <n v="218.0745"/>
    <x v="16"/>
    <x v="262"/>
    <x v="2"/>
    <n v="207.69"/>
    <n v="4.7619047620000003"/>
    <n v="10.384499999999999"/>
    <n v="8.1"/>
  </r>
  <r>
    <s v="787-15-1757"/>
    <x v="1"/>
    <x v="1"/>
    <x v="0"/>
    <x v="1"/>
    <x v="0"/>
    <x v="314"/>
    <x v="7"/>
    <n v="8.8140000000000001"/>
    <n v="185.09399999999999"/>
    <x v="67"/>
    <x v="235"/>
    <x v="0"/>
    <n v="176.28"/>
    <n v="4.7619047620000003"/>
    <n v="8.8140000000000001"/>
    <n v="8.4"/>
  </r>
  <r>
    <s v="649-11-3678"/>
    <x v="1"/>
    <x v="1"/>
    <x v="1"/>
    <x v="0"/>
    <x v="4"/>
    <x v="315"/>
    <x v="9"/>
    <n v="10.3185"/>
    <n v="216.6885"/>
    <x v="84"/>
    <x v="263"/>
    <x v="1"/>
    <n v="206.37"/>
    <n v="4.7619047620000003"/>
    <n v="10.3185"/>
    <n v="5.5"/>
  </r>
  <r>
    <s v="622-20-1945"/>
    <x v="1"/>
    <x v="1"/>
    <x v="1"/>
    <x v="0"/>
    <x v="0"/>
    <x v="316"/>
    <x v="8"/>
    <n v="1.9710000000000001"/>
    <n v="41.390999999999998"/>
    <x v="68"/>
    <x v="264"/>
    <x v="1"/>
    <n v="39.42"/>
    <n v="4.7619047620000003"/>
    <n v="1.9710000000000001"/>
    <n v="8.4"/>
  </r>
  <r>
    <s v="372-94-8041"/>
    <x v="0"/>
    <x v="0"/>
    <x v="1"/>
    <x v="1"/>
    <x v="0"/>
    <x v="317"/>
    <x v="3"/>
    <n v="4.5780000000000003"/>
    <n v="96.138000000000005"/>
    <x v="42"/>
    <x v="172"/>
    <x v="0"/>
    <n v="91.56"/>
    <n v="4.7619047620000003"/>
    <n v="4.5780000000000003"/>
    <n v="9.8000000000000007"/>
  </r>
  <r>
    <s v="563-91-7120"/>
    <x v="0"/>
    <x v="0"/>
    <x v="1"/>
    <x v="0"/>
    <x v="5"/>
    <x v="318"/>
    <x v="1"/>
    <n v="15.442500000000001"/>
    <n v="324.29250000000002"/>
    <x v="1"/>
    <x v="265"/>
    <x v="1"/>
    <n v="308.85000000000002"/>
    <n v="4.7619047620000003"/>
    <n v="15.442500000000001"/>
    <n v="6.7"/>
  </r>
  <r>
    <s v="746-54-5508"/>
    <x v="0"/>
    <x v="0"/>
    <x v="1"/>
    <x v="1"/>
    <x v="2"/>
    <x v="319"/>
    <x v="3"/>
    <n v="6.4560000000000004"/>
    <n v="135.57599999999999"/>
    <x v="29"/>
    <x v="266"/>
    <x v="2"/>
    <n v="129.12"/>
    <n v="4.7619047620000003"/>
    <n v="6.4560000000000004"/>
    <n v="9.4"/>
  </r>
  <r>
    <s v="276-54-0879"/>
    <x v="2"/>
    <x v="2"/>
    <x v="1"/>
    <x v="1"/>
    <x v="3"/>
    <x v="320"/>
    <x v="7"/>
    <n v="19.547999999999998"/>
    <n v="410.50799999999998"/>
    <x v="41"/>
    <x v="267"/>
    <x v="0"/>
    <n v="390.96"/>
    <n v="4.7619047620000003"/>
    <n v="19.547999999999998"/>
    <n v="6.4"/>
  </r>
  <r>
    <s v="815-11-1168"/>
    <x v="0"/>
    <x v="0"/>
    <x v="0"/>
    <x v="1"/>
    <x v="4"/>
    <x v="321"/>
    <x v="1"/>
    <n v="24.945"/>
    <n v="523.84500000000003"/>
    <x v="11"/>
    <x v="268"/>
    <x v="1"/>
    <n v="498.9"/>
    <n v="4.7619047620000003"/>
    <n v="24.945"/>
    <n v="5.4"/>
  </r>
  <r>
    <s v="719-76-3868"/>
    <x v="1"/>
    <x v="1"/>
    <x v="0"/>
    <x v="1"/>
    <x v="4"/>
    <x v="322"/>
    <x v="7"/>
    <n v="18.852"/>
    <n v="395.892"/>
    <x v="41"/>
    <x v="269"/>
    <x v="1"/>
    <n v="377.04"/>
    <n v="4.7619047620000003"/>
    <n v="18.852"/>
    <n v="8.6"/>
  </r>
  <r>
    <s v="730-61-8757"/>
    <x v="2"/>
    <x v="2"/>
    <x v="0"/>
    <x v="1"/>
    <x v="0"/>
    <x v="323"/>
    <x v="7"/>
    <n v="10.226000000000001"/>
    <n v="214.74600000000001"/>
    <x v="25"/>
    <x v="41"/>
    <x v="2"/>
    <n v="204.52"/>
    <n v="4.7619047620000003"/>
    <n v="10.226000000000001"/>
    <n v="4"/>
  </r>
  <r>
    <s v="340-66-0321"/>
    <x v="0"/>
    <x v="0"/>
    <x v="0"/>
    <x v="1"/>
    <x v="1"/>
    <x v="288"/>
    <x v="7"/>
    <n v="7.2720000000000002"/>
    <n v="152.71199999999999"/>
    <x v="5"/>
    <x v="270"/>
    <x v="1"/>
    <n v="145.44"/>
    <n v="4.7619047620000003"/>
    <n v="7.2720000000000002"/>
    <n v="7.6"/>
  </r>
  <r>
    <s v="868-81-1752"/>
    <x v="2"/>
    <x v="2"/>
    <x v="1"/>
    <x v="1"/>
    <x v="2"/>
    <x v="324"/>
    <x v="9"/>
    <n v="9.9090000000000007"/>
    <n v="208.089"/>
    <x v="13"/>
    <x v="271"/>
    <x v="1"/>
    <n v="198.18"/>
    <n v="4.7619047620000003"/>
    <n v="9.9090000000000007"/>
    <n v="6.8"/>
  </r>
  <r>
    <s v="634-97-8956"/>
    <x v="0"/>
    <x v="0"/>
    <x v="1"/>
    <x v="1"/>
    <x v="4"/>
    <x v="325"/>
    <x v="6"/>
    <n v="4.9349999999999996"/>
    <n v="103.63500000000001"/>
    <x v="21"/>
    <x v="272"/>
    <x v="2"/>
    <n v="98.7"/>
    <n v="4.7619047620000003"/>
    <n v="4.9349999999999996"/>
    <n v="9.1"/>
  </r>
  <r>
    <s v="566-71-1091"/>
    <x v="0"/>
    <x v="0"/>
    <x v="1"/>
    <x v="1"/>
    <x v="5"/>
    <x v="326"/>
    <x v="1"/>
    <n v="19.254999999999999"/>
    <n v="404.35500000000002"/>
    <x v="36"/>
    <x v="273"/>
    <x v="1"/>
    <n v="385.1"/>
    <n v="4.7619047620000003"/>
    <n v="19.254999999999999"/>
    <n v="5.5"/>
  </r>
  <r>
    <s v="442-48-3607"/>
    <x v="0"/>
    <x v="0"/>
    <x v="0"/>
    <x v="1"/>
    <x v="4"/>
    <x v="327"/>
    <x v="5"/>
    <n v="2.3479999999999999"/>
    <n v="49.308"/>
    <x v="86"/>
    <x v="274"/>
    <x v="2"/>
    <n v="46.96"/>
    <n v="4.7619047620000003"/>
    <n v="2.3479999999999999"/>
    <n v="7.9"/>
  </r>
  <r>
    <s v="835-16-0096"/>
    <x v="1"/>
    <x v="1"/>
    <x v="0"/>
    <x v="1"/>
    <x v="3"/>
    <x v="328"/>
    <x v="1"/>
    <n v="3.6749999999999998"/>
    <n v="77.174999999999997"/>
    <x v="62"/>
    <x v="128"/>
    <x v="0"/>
    <n v="73.5"/>
    <n v="4.7619047620000003"/>
    <n v="3.6749999999999998"/>
    <n v="8.5"/>
  </r>
  <r>
    <s v="527-09-6272"/>
    <x v="0"/>
    <x v="0"/>
    <x v="0"/>
    <x v="0"/>
    <x v="1"/>
    <x v="329"/>
    <x v="1"/>
    <n v="7.1124999999999998"/>
    <n v="149.36250000000001"/>
    <x v="76"/>
    <x v="79"/>
    <x v="2"/>
    <n v="142.25"/>
    <n v="4.7619047620000003"/>
    <n v="7.1124999999999998"/>
    <n v="9.1"/>
  </r>
  <r>
    <s v="898-04-2717"/>
    <x v="0"/>
    <x v="0"/>
    <x v="1"/>
    <x v="1"/>
    <x v="5"/>
    <x v="161"/>
    <x v="9"/>
    <n v="34.380000000000003"/>
    <n v="721.98"/>
    <x v="35"/>
    <x v="275"/>
    <x v="0"/>
    <n v="687.6"/>
    <n v="4.7619047620000003"/>
    <n v="34.380000000000003"/>
    <n v="7.5"/>
  </r>
  <r>
    <s v="692-27-8933"/>
    <x v="2"/>
    <x v="2"/>
    <x v="1"/>
    <x v="0"/>
    <x v="3"/>
    <x v="330"/>
    <x v="3"/>
    <n v="17.385000000000002"/>
    <n v="365.08499999999998"/>
    <x v="7"/>
    <x v="276"/>
    <x v="1"/>
    <n v="347.7"/>
    <n v="4.7619047620000003"/>
    <n v="17.385000000000002"/>
    <n v="5.2"/>
  </r>
  <r>
    <s v="633-09-3463"/>
    <x v="1"/>
    <x v="1"/>
    <x v="1"/>
    <x v="0"/>
    <x v="1"/>
    <x v="331"/>
    <x v="6"/>
    <n v="7.1475"/>
    <n v="150.0975"/>
    <x v="61"/>
    <x v="187"/>
    <x v="2"/>
    <n v="142.94999999999999"/>
    <n v="4.7619047620000003"/>
    <n v="7.1475"/>
    <n v="9.5"/>
  </r>
  <r>
    <s v="374-17-3652"/>
    <x v="2"/>
    <x v="2"/>
    <x v="0"/>
    <x v="0"/>
    <x v="4"/>
    <x v="332"/>
    <x v="9"/>
    <n v="19.268999999999998"/>
    <n v="404.649"/>
    <x v="63"/>
    <x v="108"/>
    <x v="2"/>
    <n v="385.38"/>
    <n v="4.7619047620000003"/>
    <n v="19.268999999999998"/>
    <n v="8.9"/>
  </r>
  <r>
    <s v="378-07-7001"/>
    <x v="2"/>
    <x v="2"/>
    <x v="0"/>
    <x v="1"/>
    <x v="1"/>
    <x v="333"/>
    <x v="6"/>
    <n v="7.2134999999999998"/>
    <n v="151.48349999999999"/>
    <x v="34"/>
    <x v="136"/>
    <x v="2"/>
    <n v="144.27000000000001"/>
    <n v="4.7619047620000003"/>
    <n v="7.2134999999999998"/>
    <n v="7.8"/>
  </r>
  <r>
    <s v="433-75-6987"/>
    <x v="2"/>
    <x v="2"/>
    <x v="0"/>
    <x v="0"/>
    <x v="0"/>
    <x v="334"/>
    <x v="0"/>
    <n v="19.589500000000001"/>
    <n v="411.37950000000001"/>
    <x v="19"/>
    <x v="216"/>
    <x v="0"/>
    <n v="391.79"/>
    <n v="4.7619047620000003"/>
    <n v="19.589500000000001"/>
    <n v="8.9"/>
  </r>
  <r>
    <s v="873-95-4984"/>
    <x v="2"/>
    <x v="2"/>
    <x v="0"/>
    <x v="0"/>
    <x v="0"/>
    <x v="335"/>
    <x v="0"/>
    <n v="26.914999999999999"/>
    <n v="565.21500000000003"/>
    <x v="42"/>
    <x v="277"/>
    <x v="1"/>
    <n v="538.29999999999995"/>
    <n v="4.7619047620000003"/>
    <n v="26.914999999999999"/>
    <n v="7.7"/>
  </r>
  <r>
    <s v="416-13-5917"/>
    <x v="1"/>
    <x v="1"/>
    <x v="1"/>
    <x v="0"/>
    <x v="4"/>
    <x v="336"/>
    <x v="1"/>
    <n v="24.2575"/>
    <n v="509.40750000000003"/>
    <x v="74"/>
    <x v="75"/>
    <x v="0"/>
    <n v="485.15"/>
    <n v="4.7619047620000003"/>
    <n v="24.2575"/>
    <n v="9.3000000000000007"/>
  </r>
  <r>
    <s v="150-89-8043"/>
    <x v="0"/>
    <x v="0"/>
    <x v="1"/>
    <x v="1"/>
    <x v="3"/>
    <x v="337"/>
    <x v="6"/>
    <n v="6.6974999999999998"/>
    <n v="140.64750000000001"/>
    <x v="44"/>
    <x v="278"/>
    <x v="1"/>
    <n v="133.94999999999999"/>
    <n v="4.7619047620000003"/>
    <n v="6.6974999999999998"/>
    <n v="6.2"/>
  </r>
  <r>
    <s v="135-84-8019"/>
    <x v="0"/>
    <x v="0"/>
    <x v="1"/>
    <x v="0"/>
    <x v="5"/>
    <x v="338"/>
    <x v="9"/>
    <n v="35.0685"/>
    <n v="736.43849999999998"/>
    <x v="33"/>
    <x v="279"/>
    <x v="0"/>
    <n v="701.37"/>
    <n v="4.7619047620000003"/>
    <n v="35.0685"/>
    <n v="7.6"/>
  </r>
  <r>
    <s v="441-94-7118"/>
    <x v="0"/>
    <x v="0"/>
    <x v="0"/>
    <x v="1"/>
    <x v="1"/>
    <x v="339"/>
    <x v="8"/>
    <n v="3.5975000000000001"/>
    <n v="75.547499999999999"/>
    <x v="87"/>
    <x v="280"/>
    <x v="1"/>
    <n v="71.95"/>
    <n v="4.7619047620000003"/>
    <n v="3.5975000000000001"/>
    <n v="7.3"/>
  </r>
  <r>
    <s v="725-96-3778"/>
    <x v="1"/>
    <x v="1"/>
    <x v="0"/>
    <x v="0"/>
    <x v="2"/>
    <x v="340"/>
    <x v="2"/>
    <n v="35.700000000000003"/>
    <n v="749.7"/>
    <x v="40"/>
    <x v="173"/>
    <x v="1"/>
    <n v="714"/>
    <n v="4.7619047620000003"/>
    <n v="35.700000000000003"/>
    <n v="4.7"/>
  </r>
  <r>
    <s v="531-80-1784"/>
    <x v="0"/>
    <x v="0"/>
    <x v="1"/>
    <x v="1"/>
    <x v="1"/>
    <x v="341"/>
    <x v="0"/>
    <n v="9.1069999999999993"/>
    <n v="191.24700000000001"/>
    <x v="61"/>
    <x v="180"/>
    <x v="1"/>
    <n v="182.14"/>
    <n v="4.7619047620000003"/>
    <n v="9.1069999999999993"/>
    <n v="5.0999999999999996"/>
  </r>
  <r>
    <s v="400-45-1220"/>
    <x v="2"/>
    <x v="2"/>
    <x v="1"/>
    <x v="0"/>
    <x v="0"/>
    <x v="342"/>
    <x v="4"/>
    <n v="6.75"/>
    <n v="141.75"/>
    <x v="33"/>
    <x v="281"/>
    <x v="2"/>
    <n v="135"/>
    <n v="4.7619047620000003"/>
    <n v="6.75"/>
    <n v="4.8"/>
  </r>
  <r>
    <s v="860-79-0874"/>
    <x v="1"/>
    <x v="1"/>
    <x v="0"/>
    <x v="0"/>
    <x v="5"/>
    <x v="343"/>
    <x v="4"/>
    <n v="49.65"/>
    <n v="1042.6500000000001"/>
    <x v="42"/>
    <x v="222"/>
    <x v="2"/>
    <n v="993"/>
    <n v="4.7619047620000003"/>
    <n v="49.65"/>
    <n v="6.6"/>
  </r>
  <r>
    <s v="834-61-8124"/>
    <x v="0"/>
    <x v="0"/>
    <x v="1"/>
    <x v="1"/>
    <x v="1"/>
    <x v="344"/>
    <x v="0"/>
    <n v="18.0915"/>
    <n v="379.92149999999998"/>
    <x v="53"/>
    <x v="282"/>
    <x v="1"/>
    <n v="361.83"/>
    <n v="4.7619047620000003"/>
    <n v="18.0915"/>
    <n v="5.5"/>
  </r>
  <r>
    <s v="115-99-4379"/>
    <x v="2"/>
    <x v="2"/>
    <x v="0"/>
    <x v="0"/>
    <x v="5"/>
    <x v="345"/>
    <x v="0"/>
    <n v="19.1555"/>
    <n v="402.26549999999997"/>
    <x v="86"/>
    <x v="283"/>
    <x v="2"/>
    <n v="383.11"/>
    <n v="4.7619047620000003"/>
    <n v="19.1555"/>
    <n v="8.5"/>
  </r>
  <r>
    <s v="565-67-6697"/>
    <x v="2"/>
    <x v="2"/>
    <x v="0"/>
    <x v="1"/>
    <x v="2"/>
    <x v="346"/>
    <x v="9"/>
    <n v="12.15"/>
    <n v="255.15"/>
    <x v="22"/>
    <x v="249"/>
    <x v="1"/>
    <n v="243"/>
    <n v="4.7619047620000003"/>
    <n v="12.15"/>
    <n v="4.8"/>
  </r>
  <r>
    <s v="320-49-6392"/>
    <x v="1"/>
    <x v="1"/>
    <x v="1"/>
    <x v="0"/>
    <x v="1"/>
    <x v="347"/>
    <x v="8"/>
    <n v="1.512"/>
    <n v="31.751999999999999"/>
    <x v="31"/>
    <x v="284"/>
    <x v="1"/>
    <n v="30.24"/>
    <n v="4.7619047620000003"/>
    <n v="1.512"/>
    <n v="8.4"/>
  </r>
  <r>
    <s v="889-04-9723"/>
    <x v="2"/>
    <x v="2"/>
    <x v="0"/>
    <x v="0"/>
    <x v="4"/>
    <x v="348"/>
    <x v="7"/>
    <n v="17.827999999999999"/>
    <n v="374.38799999999998"/>
    <x v="27"/>
    <x v="22"/>
    <x v="2"/>
    <n v="356.56"/>
    <n v="4.7619047620000003"/>
    <n v="17.827999999999999"/>
    <n v="7.8"/>
  </r>
  <r>
    <s v="632-90-0281"/>
    <x v="1"/>
    <x v="1"/>
    <x v="1"/>
    <x v="0"/>
    <x v="5"/>
    <x v="349"/>
    <x v="4"/>
    <n v="18.774999999999999"/>
    <n v="394.27499999999998"/>
    <x v="1"/>
    <x v="285"/>
    <x v="2"/>
    <n v="375.5"/>
    <n v="4.7619047620000003"/>
    <n v="18.774999999999999"/>
    <n v="9.3000000000000007"/>
  </r>
  <r>
    <s v="554-42-2417"/>
    <x v="1"/>
    <x v="1"/>
    <x v="1"/>
    <x v="0"/>
    <x v="3"/>
    <x v="350"/>
    <x v="4"/>
    <n v="47.72"/>
    <n v="1002.12"/>
    <x v="51"/>
    <x v="286"/>
    <x v="1"/>
    <n v="954.4"/>
    <n v="4.7619047620000003"/>
    <n v="47.72"/>
    <n v="5.2"/>
  </r>
  <r>
    <s v="453-63-6187"/>
    <x v="2"/>
    <x v="2"/>
    <x v="1"/>
    <x v="1"/>
    <x v="1"/>
    <x v="351"/>
    <x v="6"/>
    <n v="4.125"/>
    <n v="86.625"/>
    <x v="59"/>
    <x v="287"/>
    <x v="0"/>
    <n v="82.5"/>
    <n v="4.7619047620000003"/>
    <n v="4.125"/>
    <n v="6.5"/>
  </r>
  <r>
    <s v="578-80-7669"/>
    <x v="2"/>
    <x v="2"/>
    <x v="1"/>
    <x v="1"/>
    <x v="3"/>
    <x v="352"/>
    <x v="8"/>
    <n v="3.7484999999999999"/>
    <n v="78.718500000000006"/>
    <x v="32"/>
    <x v="288"/>
    <x v="1"/>
    <n v="74.97"/>
    <n v="4.7619047620000003"/>
    <n v="3.7484999999999999"/>
    <n v="5.6"/>
  </r>
  <r>
    <s v="612-36-5536"/>
    <x v="0"/>
    <x v="0"/>
    <x v="0"/>
    <x v="1"/>
    <x v="4"/>
    <x v="353"/>
    <x v="2"/>
    <n v="32.384"/>
    <n v="680.06399999999996"/>
    <x v="21"/>
    <x v="289"/>
    <x v="2"/>
    <n v="647.67999999999995"/>
    <n v="4.7619047620000003"/>
    <n v="32.384"/>
    <n v="7.4"/>
  </r>
  <r>
    <s v="605-72-4132"/>
    <x v="1"/>
    <x v="1"/>
    <x v="1"/>
    <x v="0"/>
    <x v="4"/>
    <x v="354"/>
    <x v="2"/>
    <n v="37.787999999999997"/>
    <n v="793.548"/>
    <x v="33"/>
    <x v="290"/>
    <x v="1"/>
    <n v="755.76"/>
    <n v="4.7619047620000003"/>
    <n v="37.787999999999997"/>
    <n v="9.1"/>
  </r>
  <r>
    <s v="471-41-2823"/>
    <x v="1"/>
    <x v="1"/>
    <x v="1"/>
    <x v="1"/>
    <x v="4"/>
    <x v="355"/>
    <x v="5"/>
    <n v="9.9789999999999992"/>
    <n v="209.559"/>
    <x v="37"/>
    <x v="291"/>
    <x v="0"/>
    <n v="199.58"/>
    <n v="4.7619047620000003"/>
    <n v="9.9789999999999992"/>
    <n v="8"/>
  </r>
  <r>
    <s v="462-67-9126"/>
    <x v="0"/>
    <x v="0"/>
    <x v="1"/>
    <x v="1"/>
    <x v="2"/>
    <x v="356"/>
    <x v="3"/>
    <n v="21.966000000000001"/>
    <n v="461.286"/>
    <x v="18"/>
    <x v="292"/>
    <x v="1"/>
    <n v="439.32"/>
    <n v="4.7619047620000003"/>
    <n v="21.966000000000001"/>
    <n v="7.2"/>
  </r>
  <r>
    <s v="272-27-9238"/>
    <x v="1"/>
    <x v="1"/>
    <x v="1"/>
    <x v="0"/>
    <x v="4"/>
    <x v="357"/>
    <x v="7"/>
    <n v="8.2479999999999993"/>
    <n v="173.208"/>
    <x v="88"/>
    <x v="293"/>
    <x v="1"/>
    <n v="164.96"/>
    <n v="4.7619047620000003"/>
    <n v="8.2479999999999993"/>
    <n v="7.1"/>
  </r>
  <r>
    <s v="834-25-9262"/>
    <x v="1"/>
    <x v="1"/>
    <x v="1"/>
    <x v="0"/>
    <x v="5"/>
    <x v="358"/>
    <x v="7"/>
    <n v="16.335999999999999"/>
    <n v="343.05599999999998"/>
    <x v="47"/>
    <x v="294"/>
    <x v="1"/>
    <n v="326.72000000000003"/>
    <n v="4.7619047620000003"/>
    <n v="16.335999999999999"/>
    <n v="9.1"/>
  </r>
  <r>
    <s v="122-61-9553"/>
    <x v="1"/>
    <x v="1"/>
    <x v="1"/>
    <x v="0"/>
    <x v="1"/>
    <x v="359"/>
    <x v="9"/>
    <n v="23.094000000000001"/>
    <n v="484.97399999999999"/>
    <x v="86"/>
    <x v="295"/>
    <x v="1"/>
    <n v="461.88"/>
    <n v="4.7619047620000003"/>
    <n v="23.094000000000001"/>
    <n v="5.6"/>
  </r>
  <r>
    <s v="468-88-0009"/>
    <x v="0"/>
    <x v="0"/>
    <x v="0"/>
    <x v="1"/>
    <x v="2"/>
    <x v="256"/>
    <x v="7"/>
    <n v="13.188000000000001"/>
    <n v="276.94799999999998"/>
    <x v="62"/>
    <x v="1"/>
    <x v="1"/>
    <n v="263.76"/>
    <n v="4.7619047620000003"/>
    <n v="13.188000000000001"/>
    <n v="6"/>
  </r>
  <r>
    <s v="613-59-9758"/>
    <x v="1"/>
    <x v="1"/>
    <x v="1"/>
    <x v="0"/>
    <x v="3"/>
    <x v="360"/>
    <x v="4"/>
    <n v="7.18"/>
    <n v="150.78"/>
    <x v="3"/>
    <x v="296"/>
    <x v="1"/>
    <n v="143.6"/>
    <n v="4.7619047620000003"/>
    <n v="7.18"/>
    <n v="5.4"/>
  </r>
  <r>
    <s v="254-31-0042"/>
    <x v="0"/>
    <x v="0"/>
    <x v="0"/>
    <x v="1"/>
    <x v="1"/>
    <x v="361"/>
    <x v="9"/>
    <n v="9.6750000000000007"/>
    <n v="203.17500000000001"/>
    <x v="43"/>
    <x v="69"/>
    <x v="2"/>
    <n v="193.5"/>
    <n v="4.7619047620000003"/>
    <n v="9.6750000000000007"/>
    <n v="7.8"/>
  </r>
  <r>
    <s v="201-86-2184"/>
    <x v="2"/>
    <x v="2"/>
    <x v="0"/>
    <x v="0"/>
    <x v="1"/>
    <x v="362"/>
    <x v="0"/>
    <n v="9.1910000000000007"/>
    <n v="193.011"/>
    <x v="30"/>
    <x v="138"/>
    <x v="1"/>
    <n v="183.82"/>
    <n v="4.7619047620000003"/>
    <n v="9.1910000000000007"/>
    <n v="9.9"/>
  </r>
  <r>
    <s v="261-12-8671"/>
    <x v="2"/>
    <x v="2"/>
    <x v="1"/>
    <x v="0"/>
    <x v="5"/>
    <x v="363"/>
    <x v="5"/>
    <n v="6.0960000000000001"/>
    <n v="128.01599999999999"/>
    <x v="25"/>
    <x v="30"/>
    <x v="2"/>
    <n v="121.92"/>
    <n v="4.7619047620000003"/>
    <n v="6.0960000000000001"/>
    <n v="4.9000000000000004"/>
  </r>
  <r>
    <s v="730-70-9830"/>
    <x v="1"/>
    <x v="1"/>
    <x v="1"/>
    <x v="0"/>
    <x v="2"/>
    <x v="364"/>
    <x v="3"/>
    <n v="21.033000000000001"/>
    <n v="441.69299999999998"/>
    <x v="86"/>
    <x v="297"/>
    <x v="0"/>
    <n v="420.66"/>
    <n v="4.7619047620000003"/>
    <n v="21.033000000000001"/>
    <n v="5.2"/>
  </r>
  <r>
    <s v="382-25-8917"/>
    <x v="1"/>
    <x v="1"/>
    <x v="1"/>
    <x v="1"/>
    <x v="5"/>
    <x v="365"/>
    <x v="3"/>
    <n v="12.624000000000001"/>
    <n v="265.10399999999998"/>
    <x v="71"/>
    <x v="298"/>
    <x v="1"/>
    <n v="252.48"/>
    <n v="4.7619047620000003"/>
    <n v="12.624000000000001"/>
    <n v="8.9"/>
  </r>
  <r>
    <s v="422-29-8786"/>
    <x v="0"/>
    <x v="0"/>
    <x v="1"/>
    <x v="0"/>
    <x v="2"/>
    <x v="366"/>
    <x v="1"/>
    <n v="16.772500000000001"/>
    <n v="352.22250000000003"/>
    <x v="75"/>
    <x v="157"/>
    <x v="2"/>
    <n v="335.45"/>
    <n v="4.7619047620000003"/>
    <n v="16.772500000000001"/>
    <n v="9.1"/>
  </r>
  <r>
    <s v="667-23-5919"/>
    <x v="0"/>
    <x v="0"/>
    <x v="0"/>
    <x v="0"/>
    <x v="5"/>
    <x v="367"/>
    <x v="1"/>
    <n v="24.175000000000001"/>
    <n v="507.67500000000001"/>
    <x v="78"/>
    <x v="299"/>
    <x v="0"/>
    <n v="483.5"/>
    <n v="4.7619047620000003"/>
    <n v="24.175000000000001"/>
    <n v="7"/>
  </r>
  <r>
    <s v="843-01-4703"/>
    <x v="2"/>
    <x v="2"/>
    <x v="0"/>
    <x v="0"/>
    <x v="2"/>
    <x v="368"/>
    <x v="9"/>
    <n v="15.920999999999999"/>
    <n v="334.34100000000001"/>
    <x v="0"/>
    <x v="300"/>
    <x v="2"/>
    <n v="318.42"/>
    <n v="4.7619047620000003"/>
    <n v="15.920999999999999"/>
    <n v="9.6"/>
  </r>
  <r>
    <s v="743-88-1662"/>
    <x v="1"/>
    <x v="1"/>
    <x v="1"/>
    <x v="1"/>
    <x v="3"/>
    <x v="369"/>
    <x v="0"/>
    <n v="33.421500000000002"/>
    <n v="701.85149999999999"/>
    <x v="70"/>
    <x v="70"/>
    <x v="0"/>
    <n v="668.43"/>
    <n v="4.7619047620000003"/>
    <n v="33.421500000000002"/>
    <n v="8.6999999999999993"/>
  </r>
  <r>
    <s v="595-86-2894"/>
    <x v="1"/>
    <x v="1"/>
    <x v="0"/>
    <x v="1"/>
    <x v="5"/>
    <x v="370"/>
    <x v="7"/>
    <n v="19.396000000000001"/>
    <n v="407.31599999999997"/>
    <x v="10"/>
    <x v="244"/>
    <x v="0"/>
    <n v="387.92"/>
    <n v="4.7619047620000003"/>
    <n v="19.396000000000001"/>
    <n v="9.4"/>
  </r>
  <r>
    <s v="182-69-8360"/>
    <x v="2"/>
    <x v="2"/>
    <x v="1"/>
    <x v="0"/>
    <x v="1"/>
    <x v="371"/>
    <x v="7"/>
    <n v="4.7300000000000004"/>
    <n v="99.33"/>
    <x v="74"/>
    <x v="147"/>
    <x v="2"/>
    <n v="94.6"/>
    <n v="4.7619047620000003"/>
    <n v="4.7300000000000004"/>
    <n v="4"/>
  </r>
  <r>
    <s v="289-15-7034"/>
    <x v="0"/>
    <x v="0"/>
    <x v="0"/>
    <x v="1"/>
    <x v="3"/>
    <x v="372"/>
    <x v="7"/>
    <n v="16.466000000000001"/>
    <n v="345.786"/>
    <x v="83"/>
    <x v="4"/>
    <x v="2"/>
    <n v="329.32"/>
    <n v="4.7619047620000003"/>
    <n v="16.466000000000001"/>
    <n v="7.5"/>
  </r>
  <r>
    <s v="462-78-5240"/>
    <x v="1"/>
    <x v="1"/>
    <x v="1"/>
    <x v="0"/>
    <x v="1"/>
    <x v="373"/>
    <x v="5"/>
    <n v="2.661"/>
    <n v="55.881"/>
    <x v="35"/>
    <x v="63"/>
    <x v="1"/>
    <n v="53.22"/>
    <n v="4.7619047620000003"/>
    <n v="2.661"/>
    <n v="4.2"/>
  </r>
  <r>
    <s v="868-52-7573"/>
    <x v="2"/>
    <x v="2"/>
    <x v="1"/>
    <x v="0"/>
    <x v="4"/>
    <x v="374"/>
    <x v="1"/>
    <n v="24.922499999999999"/>
    <n v="523.37249999999995"/>
    <x v="78"/>
    <x v="87"/>
    <x v="1"/>
    <n v="498.45"/>
    <n v="4.7619047620000003"/>
    <n v="24.922499999999999"/>
    <n v="9.9"/>
  </r>
  <r>
    <s v="153-58-4872"/>
    <x v="1"/>
    <x v="1"/>
    <x v="0"/>
    <x v="0"/>
    <x v="4"/>
    <x v="375"/>
    <x v="7"/>
    <n v="14.978"/>
    <n v="314.53800000000001"/>
    <x v="59"/>
    <x v="301"/>
    <x v="0"/>
    <n v="299.56"/>
    <n v="4.7619047620000003"/>
    <n v="14.978"/>
    <n v="4.2"/>
  </r>
  <r>
    <s v="662-72-2873"/>
    <x v="0"/>
    <x v="0"/>
    <x v="1"/>
    <x v="0"/>
    <x v="4"/>
    <x v="376"/>
    <x v="1"/>
    <n v="10.234999999999999"/>
    <n v="214.935"/>
    <x v="47"/>
    <x v="139"/>
    <x v="0"/>
    <n v="204.7"/>
    <n v="4.7619047620000003"/>
    <n v="10.234999999999999"/>
    <n v="9.9"/>
  </r>
  <r>
    <s v="525-88-7307"/>
    <x v="2"/>
    <x v="2"/>
    <x v="0"/>
    <x v="1"/>
    <x v="3"/>
    <x v="377"/>
    <x v="8"/>
    <n v="3.7909999999999999"/>
    <n v="79.611000000000004"/>
    <x v="82"/>
    <x v="302"/>
    <x v="1"/>
    <n v="75.819999999999993"/>
    <n v="4.7619047620000003"/>
    <n v="3.7909999999999999"/>
    <n v="5.8"/>
  </r>
  <r>
    <s v="689-16-9784"/>
    <x v="1"/>
    <x v="1"/>
    <x v="1"/>
    <x v="1"/>
    <x v="4"/>
    <x v="378"/>
    <x v="3"/>
    <n v="14.031000000000001"/>
    <n v="294.65100000000001"/>
    <x v="16"/>
    <x v="303"/>
    <x v="1"/>
    <n v="280.62"/>
    <n v="4.7619047620000003"/>
    <n v="14.031000000000001"/>
    <n v="6"/>
  </r>
  <r>
    <s v="725-56-0833"/>
    <x v="0"/>
    <x v="0"/>
    <x v="1"/>
    <x v="0"/>
    <x v="0"/>
    <x v="379"/>
    <x v="4"/>
    <n v="16.16"/>
    <n v="339.36"/>
    <x v="9"/>
    <x v="208"/>
    <x v="2"/>
    <n v="323.2"/>
    <n v="4.7619047620000003"/>
    <n v="16.16"/>
    <n v="10"/>
  </r>
  <r>
    <s v="394-41-0748"/>
    <x v="1"/>
    <x v="1"/>
    <x v="0"/>
    <x v="0"/>
    <x v="5"/>
    <x v="380"/>
    <x v="9"/>
    <n v="24.331499999999998"/>
    <n v="510.9615"/>
    <x v="3"/>
    <x v="304"/>
    <x v="0"/>
    <n v="486.63"/>
    <n v="4.7619047620000003"/>
    <n v="24.331499999999998"/>
    <n v="9.5"/>
  </r>
  <r>
    <s v="596-42-3999"/>
    <x v="2"/>
    <x v="2"/>
    <x v="1"/>
    <x v="1"/>
    <x v="4"/>
    <x v="381"/>
    <x v="0"/>
    <n v="6.3769999999999998"/>
    <n v="133.917"/>
    <x v="24"/>
    <x v="214"/>
    <x v="2"/>
    <n v="127.54"/>
    <n v="4.7619047620000003"/>
    <n v="6.3769999999999998"/>
    <n v="6.6"/>
  </r>
  <r>
    <s v="541-89-9860"/>
    <x v="1"/>
    <x v="1"/>
    <x v="0"/>
    <x v="0"/>
    <x v="5"/>
    <x v="382"/>
    <x v="6"/>
    <n v="12.071999999999999"/>
    <n v="253.512"/>
    <x v="42"/>
    <x v="305"/>
    <x v="1"/>
    <n v="241.44"/>
    <n v="4.7619047620000003"/>
    <n v="12.071999999999999"/>
    <n v="8.1"/>
  </r>
  <r>
    <s v="173-82-9529"/>
    <x v="2"/>
    <x v="2"/>
    <x v="1"/>
    <x v="0"/>
    <x v="5"/>
    <x v="383"/>
    <x v="4"/>
    <n v="18.975000000000001"/>
    <n v="398.47500000000002"/>
    <x v="53"/>
    <x v="178"/>
    <x v="1"/>
    <n v="379.5"/>
    <n v="4.7619047620000003"/>
    <n v="18.975000000000001"/>
    <n v="9.6999999999999993"/>
  </r>
  <r>
    <s v="563-36-9814"/>
    <x v="0"/>
    <x v="0"/>
    <x v="0"/>
    <x v="1"/>
    <x v="1"/>
    <x v="384"/>
    <x v="8"/>
    <n v="3.8410000000000002"/>
    <n v="80.661000000000001"/>
    <x v="77"/>
    <x v="185"/>
    <x v="0"/>
    <n v="76.819999999999993"/>
    <n v="4.7619047620000003"/>
    <n v="3.8410000000000002"/>
    <n v="7.2"/>
  </r>
  <r>
    <s v="308-47-4913"/>
    <x v="0"/>
    <x v="0"/>
    <x v="0"/>
    <x v="0"/>
    <x v="3"/>
    <x v="385"/>
    <x v="4"/>
    <n v="26.13"/>
    <n v="548.73"/>
    <x v="11"/>
    <x v="47"/>
    <x v="2"/>
    <n v="522.6"/>
    <n v="4.7619047620000003"/>
    <n v="26.13"/>
    <n v="6.2"/>
  </r>
  <r>
    <s v="885-17-6250"/>
    <x v="0"/>
    <x v="0"/>
    <x v="1"/>
    <x v="0"/>
    <x v="0"/>
    <x v="386"/>
    <x v="8"/>
    <n v="3.9870000000000001"/>
    <n v="83.727000000000004"/>
    <x v="43"/>
    <x v="130"/>
    <x v="0"/>
    <n v="79.739999999999995"/>
    <n v="4.7619047620000003"/>
    <n v="3.9870000000000001"/>
    <n v="7.3"/>
  </r>
  <r>
    <s v="726-27-2396"/>
    <x v="0"/>
    <x v="0"/>
    <x v="1"/>
    <x v="0"/>
    <x v="0"/>
    <x v="387"/>
    <x v="1"/>
    <n v="19.375"/>
    <n v="406.875"/>
    <x v="46"/>
    <x v="58"/>
    <x v="0"/>
    <n v="387.5"/>
    <n v="4.7619047620000003"/>
    <n v="19.375"/>
    <n v="4.3"/>
  </r>
  <r>
    <s v="316-01-3952"/>
    <x v="0"/>
    <x v="0"/>
    <x v="1"/>
    <x v="0"/>
    <x v="4"/>
    <x v="388"/>
    <x v="1"/>
    <n v="13.567500000000001"/>
    <n v="284.91750000000002"/>
    <x v="45"/>
    <x v="249"/>
    <x v="0"/>
    <n v="271.35000000000002"/>
    <n v="4.7619047620000003"/>
    <n v="13.567500000000001"/>
    <n v="4.5999999999999996"/>
  </r>
  <r>
    <s v="760-54-1821"/>
    <x v="2"/>
    <x v="2"/>
    <x v="1"/>
    <x v="1"/>
    <x v="2"/>
    <x v="389"/>
    <x v="9"/>
    <n v="6.1154999999999999"/>
    <n v="128.4255"/>
    <x v="20"/>
    <x v="306"/>
    <x v="1"/>
    <n v="122.31"/>
    <n v="4.7619047620000003"/>
    <n v="6.1154999999999999"/>
    <n v="5.8"/>
  </r>
  <r>
    <s v="793-10-3222"/>
    <x v="2"/>
    <x v="2"/>
    <x v="0"/>
    <x v="0"/>
    <x v="0"/>
    <x v="390"/>
    <x v="3"/>
    <n v="12.318"/>
    <n v="258.678"/>
    <x v="19"/>
    <x v="241"/>
    <x v="2"/>
    <n v="246.36"/>
    <n v="4.7619047620000003"/>
    <n v="12.318"/>
    <n v="8.3000000000000007"/>
  </r>
  <r>
    <s v="346-12-3257"/>
    <x v="2"/>
    <x v="2"/>
    <x v="0"/>
    <x v="1"/>
    <x v="1"/>
    <x v="391"/>
    <x v="9"/>
    <n v="8.6579999999999995"/>
    <n v="181.81800000000001"/>
    <x v="31"/>
    <x v="235"/>
    <x v="1"/>
    <n v="173.16"/>
    <n v="4.7619047620000003"/>
    <n v="8.6579999999999995"/>
    <n v="8"/>
  </r>
  <r>
    <s v="110-05-6330"/>
    <x v="1"/>
    <x v="1"/>
    <x v="1"/>
    <x v="0"/>
    <x v="4"/>
    <x v="392"/>
    <x v="3"/>
    <n v="11.829000000000001"/>
    <n v="248.40899999999999"/>
    <x v="5"/>
    <x v="307"/>
    <x v="2"/>
    <n v="236.58"/>
    <n v="4.7619047620000003"/>
    <n v="11.829000000000001"/>
    <n v="9.4"/>
  </r>
  <r>
    <s v="651-61-0874"/>
    <x v="1"/>
    <x v="1"/>
    <x v="1"/>
    <x v="1"/>
    <x v="2"/>
    <x v="393"/>
    <x v="7"/>
    <n v="9.2439999999999998"/>
    <n v="194.124"/>
    <x v="41"/>
    <x v="308"/>
    <x v="2"/>
    <n v="184.88"/>
    <n v="4.7619047620000003"/>
    <n v="9.2439999999999998"/>
    <n v="6.2"/>
  </r>
  <r>
    <s v="236-86-3015"/>
    <x v="1"/>
    <x v="1"/>
    <x v="0"/>
    <x v="1"/>
    <x v="2"/>
    <x v="394"/>
    <x v="8"/>
    <n v="0.69899999999999995"/>
    <n v="14.679"/>
    <x v="87"/>
    <x v="309"/>
    <x v="0"/>
    <n v="13.98"/>
    <n v="4.7619047620000003"/>
    <n v="0.69899999999999995"/>
    <n v="9.8000000000000007"/>
  </r>
  <r>
    <s v="831-64-0259"/>
    <x v="2"/>
    <x v="2"/>
    <x v="1"/>
    <x v="0"/>
    <x v="5"/>
    <x v="395"/>
    <x v="1"/>
    <n v="9.9375"/>
    <n v="208.6875"/>
    <x v="70"/>
    <x v="100"/>
    <x v="0"/>
    <n v="198.75"/>
    <n v="4.7619047620000003"/>
    <n v="9.9375"/>
    <n v="9.6"/>
  </r>
  <r>
    <s v="587-03-7455"/>
    <x v="1"/>
    <x v="1"/>
    <x v="0"/>
    <x v="0"/>
    <x v="5"/>
    <x v="396"/>
    <x v="0"/>
    <n v="34.226500000000001"/>
    <n v="718.75649999999996"/>
    <x v="69"/>
    <x v="310"/>
    <x v="0"/>
    <n v="684.53"/>
    <n v="4.7619047620000003"/>
    <n v="34.226500000000001"/>
    <n v="4.9000000000000004"/>
  </r>
  <r>
    <s v="882-40-4577"/>
    <x v="0"/>
    <x v="0"/>
    <x v="0"/>
    <x v="1"/>
    <x v="3"/>
    <x v="397"/>
    <x v="7"/>
    <n v="13.452"/>
    <n v="282.49200000000002"/>
    <x v="64"/>
    <x v="311"/>
    <x v="2"/>
    <n v="269.04000000000002"/>
    <n v="4.7619047620000003"/>
    <n v="13.452"/>
    <n v="8"/>
  </r>
  <r>
    <s v="732-67-5346"/>
    <x v="0"/>
    <x v="0"/>
    <x v="1"/>
    <x v="1"/>
    <x v="4"/>
    <x v="398"/>
    <x v="1"/>
    <n v="3.4474999999999998"/>
    <n v="72.397499999999994"/>
    <x v="83"/>
    <x v="312"/>
    <x v="2"/>
    <n v="68.95"/>
    <n v="4.7619047620000003"/>
    <n v="3.4474999999999998"/>
    <n v="7.8"/>
  </r>
  <r>
    <s v="725-32-9708"/>
    <x v="2"/>
    <x v="2"/>
    <x v="0"/>
    <x v="0"/>
    <x v="5"/>
    <x v="399"/>
    <x v="7"/>
    <n v="13.742000000000001"/>
    <n v="288.58199999999999"/>
    <x v="72"/>
    <x v="54"/>
    <x v="1"/>
    <n v="274.83999999999997"/>
    <n v="4.7619047620000003"/>
    <n v="13.742000000000001"/>
    <n v="4.0999999999999996"/>
  </r>
  <r>
    <s v="256-08-8343"/>
    <x v="0"/>
    <x v="0"/>
    <x v="1"/>
    <x v="0"/>
    <x v="2"/>
    <x v="400"/>
    <x v="7"/>
    <n v="11.305999999999999"/>
    <n v="237.42599999999999"/>
    <x v="31"/>
    <x v="28"/>
    <x v="0"/>
    <n v="226.12"/>
    <n v="4.7619047620000003"/>
    <n v="11.305999999999999"/>
    <n v="5.5"/>
  </r>
  <r>
    <s v="372-26-1506"/>
    <x v="1"/>
    <x v="1"/>
    <x v="1"/>
    <x v="0"/>
    <x v="5"/>
    <x v="401"/>
    <x v="1"/>
    <n v="5.9550000000000001"/>
    <n v="125.05500000000001"/>
    <x v="26"/>
    <x v="225"/>
    <x v="0"/>
    <n v="119.1"/>
    <n v="4.7619047620000003"/>
    <n v="5.9550000000000001"/>
    <n v="5.4"/>
  </r>
  <r>
    <s v="244-08-0162"/>
    <x v="2"/>
    <x v="2"/>
    <x v="1"/>
    <x v="0"/>
    <x v="0"/>
    <x v="402"/>
    <x v="4"/>
    <n v="17.105"/>
    <n v="359.20499999999998"/>
    <x v="56"/>
    <x v="127"/>
    <x v="1"/>
    <n v="342.1"/>
    <n v="4.7619047620000003"/>
    <n v="17.105"/>
    <n v="5.0999999999999996"/>
  </r>
  <r>
    <s v="569-71-4390"/>
    <x v="2"/>
    <x v="2"/>
    <x v="1"/>
    <x v="1"/>
    <x v="3"/>
    <x v="403"/>
    <x v="5"/>
    <n v="2.1869999999999998"/>
    <n v="45.927"/>
    <x v="25"/>
    <x v="194"/>
    <x v="0"/>
    <n v="43.74"/>
    <n v="4.7619047620000003"/>
    <n v="2.1869999999999998"/>
    <n v="6.9"/>
  </r>
  <r>
    <s v="132-23-6451"/>
    <x v="0"/>
    <x v="0"/>
    <x v="0"/>
    <x v="1"/>
    <x v="0"/>
    <x v="404"/>
    <x v="1"/>
    <n v="5.2424999999999997"/>
    <n v="110.0925"/>
    <x v="72"/>
    <x v="265"/>
    <x v="1"/>
    <n v="104.85"/>
    <n v="4.7619047620000003"/>
    <n v="5.2424999999999997"/>
    <n v="7.8"/>
  </r>
  <r>
    <s v="696-90-2548"/>
    <x v="0"/>
    <x v="0"/>
    <x v="1"/>
    <x v="1"/>
    <x v="3"/>
    <x v="405"/>
    <x v="6"/>
    <n v="3.8759999999999999"/>
    <n v="81.396000000000001"/>
    <x v="24"/>
    <x v="313"/>
    <x v="0"/>
    <n v="77.52"/>
    <n v="4.7619047620000003"/>
    <n v="3.8759999999999999"/>
    <n v="6.6"/>
  </r>
  <r>
    <s v="472-15-9636"/>
    <x v="0"/>
    <x v="0"/>
    <x v="1"/>
    <x v="1"/>
    <x v="2"/>
    <x v="406"/>
    <x v="2"/>
    <n v="20.372"/>
    <n v="427.81200000000001"/>
    <x v="23"/>
    <x v="314"/>
    <x v="0"/>
    <n v="407.44"/>
    <n v="4.7619047620000003"/>
    <n v="20.372"/>
    <n v="9.1999999999999993"/>
  </r>
  <r>
    <s v="268-03-6164"/>
    <x v="2"/>
    <x v="2"/>
    <x v="1"/>
    <x v="1"/>
    <x v="0"/>
    <x v="407"/>
    <x v="8"/>
    <n v="4.8055000000000003"/>
    <n v="100.91549999999999"/>
    <x v="25"/>
    <x v="235"/>
    <x v="0"/>
    <n v="96.11"/>
    <n v="4.7619047620000003"/>
    <n v="4.8055000000000003"/>
    <n v="7.8"/>
  </r>
  <r>
    <s v="750-57-9686"/>
    <x v="1"/>
    <x v="1"/>
    <x v="1"/>
    <x v="0"/>
    <x v="2"/>
    <x v="408"/>
    <x v="7"/>
    <n v="9.0760000000000005"/>
    <n v="190.596"/>
    <x v="66"/>
    <x v="128"/>
    <x v="2"/>
    <n v="181.52"/>
    <n v="4.7619047620000003"/>
    <n v="9.0760000000000005"/>
    <n v="8.6999999999999993"/>
  </r>
  <r>
    <s v="186-09-3669"/>
    <x v="1"/>
    <x v="1"/>
    <x v="0"/>
    <x v="0"/>
    <x v="0"/>
    <x v="409"/>
    <x v="8"/>
    <n v="4.0754999999999999"/>
    <n v="85.585499999999996"/>
    <x v="49"/>
    <x v="315"/>
    <x v="0"/>
    <n v="81.510000000000005"/>
    <n v="4.7619047620000003"/>
    <n v="4.0754999999999999"/>
    <n v="9.1999999999999993"/>
  </r>
  <r>
    <s v="848-07-1692"/>
    <x v="2"/>
    <x v="2"/>
    <x v="1"/>
    <x v="0"/>
    <x v="0"/>
    <x v="410"/>
    <x v="5"/>
    <n v="5.7220000000000004"/>
    <n v="120.16200000000001"/>
    <x v="52"/>
    <x v="316"/>
    <x v="0"/>
    <n v="114.44"/>
    <n v="4.7619047620000003"/>
    <n v="5.7220000000000004"/>
    <n v="8.3000000000000007"/>
  </r>
  <r>
    <s v="745-71-3520"/>
    <x v="0"/>
    <x v="0"/>
    <x v="0"/>
    <x v="0"/>
    <x v="1"/>
    <x v="411"/>
    <x v="0"/>
    <n v="8.827"/>
    <n v="185.36699999999999"/>
    <x v="87"/>
    <x v="81"/>
    <x v="1"/>
    <n v="176.54"/>
    <n v="4.7619047620000003"/>
    <n v="8.827"/>
    <n v="8.1999999999999993"/>
  </r>
  <r>
    <s v="266-76-6436"/>
    <x v="1"/>
    <x v="1"/>
    <x v="0"/>
    <x v="0"/>
    <x v="4"/>
    <x v="412"/>
    <x v="6"/>
    <n v="5.79"/>
    <n v="121.59"/>
    <x v="61"/>
    <x v="317"/>
    <x v="0"/>
    <n v="115.8"/>
    <n v="4.7619047620000003"/>
    <n v="5.79"/>
    <n v="7.5"/>
  </r>
  <r>
    <s v="740-22-2500"/>
    <x v="1"/>
    <x v="1"/>
    <x v="1"/>
    <x v="0"/>
    <x v="1"/>
    <x v="413"/>
    <x v="6"/>
    <n v="12.6075"/>
    <n v="264.75749999999999"/>
    <x v="54"/>
    <x v="236"/>
    <x v="1"/>
    <n v="252.15"/>
    <n v="4.7619047620000003"/>
    <n v="12.6075"/>
    <n v="9.8000000000000007"/>
  </r>
  <r>
    <s v="271-88-8734"/>
    <x v="1"/>
    <x v="1"/>
    <x v="0"/>
    <x v="0"/>
    <x v="5"/>
    <x v="414"/>
    <x v="4"/>
    <n v="48.604999999999997"/>
    <n v="1020.705"/>
    <x v="4"/>
    <x v="127"/>
    <x v="2"/>
    <n v="972.1"/>
    <n v="4.7619047620000003"/>
    <n v="48.604999999999997"/>
    <n v="8.6999999999999993"/>
  </r>
  <r>
    <s v="301-81-8610"/>
    <x v="2"/>
    <x v="2"/>
    <x v="0"/>
    <x v="1"/>
    <x v="5"/>
    <x v="415"/>
    <x v="2"/>
    <n v="10.167999999999999"/>
    <n v="213.52799999999999"/>
    <x v="35"/>
    <x v="144"/>
    <x v="2"/>
    <n v="203.36"/>
    <n v="4.7619047620000003"/>
    <n v="10.167999999999999"/>
    <n v="6.7"/>
  </r>
  <r>
    <s v="489-64-4354"/>
    <x v="1"/>
    <x v="1"/>
    <x v="1"/>
    <x v="1"/>
    <x v="5"/>
    <x v="416"/>
    <x v="8"/>
    <n v="0.81399999999999995"/>
    <n v="17.094000000000001"/>
    <x v="11"/>
    <x v="29"/>
    <x v="1"/>
    <n v="16.28"/>
    <n v="4.7619047620000003"/>
    <n v="0.81399999999999995"/>
    <n v="5"/>
  </r>
  <r>
    <s v="198-84-7132"/>
    <x v="2"/>
    <x v="2"/>
    <x v="0"/>
    <x v="1"/>
    <x v="5"/>
    <x v="417"/>
    <x v="9"/>
    <n v="18.2745"/>
    <n v="383.7645"/>
    <x v="56"/>
    <x v="61"/>
    <x v="1"/>
    <n v="365.49"/>
    <n v="4.7619047620000003"/>
    <n v="18.2745"/>
    <n v="7"/>
  </r>
  <r>
    <s v="269-10-8440"/>
    <x v="0"/>
    <x v="0"/>
    <x v="0"/>
    <x v="1"/>
    <x v="0"/>
    <x v="418"/>
    <x v="0"/>
    <n v="18.609500000000001"/>
    <n v="390.79950000000002"/>
    <x v="18"/>
    <x v="240"/>
    <x v="1"/>
    <n v="372.19"/>
    <n v="4.7619047620000003"/>
    <n v="18.609500000000001"/>
    <n v="8.9"/>
  </r>
  <r>
    <s v="650-98-6268"/>
    <x v="2"/>
    <x v="2"/>
    <x v="0"/>
    <x v="0"/>
    <x v="4"/>
    <x v="419"/>
    <x v="6"/>
    <n v="3.1305000000000001"/>
    <n v="65.740499999999997"/>
    <x v="80"/>
    <x v="318"/>
    <x v="2"/>
    <n v="62.61"/>
    <n v="4.7619047620000003"/>
    <n v="3.1305000000000001"/>
    <n v="8"/>
  </r>
  <r>
    <s v="741-73-3559"/>
    <x v="2"/>
    <x v="2"/>
    <x v="1"/>
    <x v="1"/>
    <x v="3"/>
    <x v="420"/>
    <x v="1"/>
    <n v="16.817499999999999"/>
    <n v="353.16750000000002"/>
    <x v="33"/>
    <x v="272"/>
    <x v="1"/>
    <n v="336.35"/>
    <n v="4.7619047620000003"/>
    <n v="16.817499999999999"/>
    <n v="6.9"/>
  </r>
  <r>
    <s v="325-77-6186"/>
    <x v="0"/>
    <x v="0"/>
    <x v="0"/>
    <x v="0"/>
    <x v="2"/>
    <x v="421"/>
    <x v="4"/>
    <n v="45.325000000000003"/>
    <n v="951.82500000000005"/>
    <x v="1"/>
    <x v="164"/>
    <x v="0"/>
    <n v="906.5"/>
    <n v="4.7619047620000003"/>
    <n v="45.325000000000003"/>
    <n v="7.3"/>
  </r>
  <r>
    <s v="286-75-7818"/>
    <x v="2"/>
    <x v="2"/>
    <x v="1"/>
    <x v="1"/>
    <x v="5"/>
    <x v="422"/>
    <x v="5"/>
    <n v="6.9080000000000004"/>
    <n v="145.06800000000001"/>
    <x v="82"/>
    <x v="28"/>
    <x v="2"/>
    <n v="138.16"/>
    <n v="4.7619047620000003"/>
    <n v="6.9080000000000004"/>
    <n v="6.9"/>
  </r>
  <r>
    <s v="574-57-9721"/>
    <x v="1"/>
    <x v="1"/>
    <x v="1"/>
    <x v="1"/>
    <x v="4"/>
    <x v="423"/>
    <x v="5"/>
    <n v="4.327"/>
    <n v="90.867000000000004"/>
    <x v="1"/>
    <x v="319"/>
    <x v="0"/>
    <n v="86.54"/>
    <n v="4.7619047620000003"/>
    <n v="4.327"/>
    <n v="5.7"/>
  </r>
  <r>
    <s v="459-50-7686"/>
    <x v="0"/>
    <x v="0"/>
    <x v="1"/>
    <x v="0"/>
    <x v="1"/>
    <x v="424"/>
    <x v="3"/>
    <n v="7.0380000000000003"/>
    <n v="147.798"/>
    <x v="50"/>
    <x v="195"/>
    <x v="0"/>
    <n v="140.76"/>
    <n v="4.7619047620000003"/>
    <n v="7.0380000000000003"/>
    <n v="6.4"/>
  </r>
  <r>
    <s v="616-87-0016"/>
    <x v="2"/>
    <x v="2"/>
    <x v="1"/>
    <x v="1"/>
    <x v="5"/>
    <x v="425"/>
    <x v="0"/>
    <n v="33.439"/>
    <n v="702.21900000000005"/>
    <x v="11"/>
    <x v="6"/>
    <x v="2"/>
    <n v="668.78"/>
    <n v="4.7619047620000003"/>
    <n v="33.439"/>
    <n v="9.6"/>
  </r>
  <r>
    <s v="837-55-7229"/>
    <x v="2"/>
    <x v="2"/>
    <x v="1"/>
    <x v="0"/>
    <x v="5"/>
    <x v="426"/>
    <x v="8"/>
    <n v="2.3719999999999999"/>
    <n v="49.811999999999998"/>
    <x v="70"/>
    <x v="96"/>
    <x v="2"/>
    <n v="47.44"/>
    <n v="4.7619047620000003"/>
    <n v="2.3719999999999999"/>
    <n v="6.8"/>
  </r>
  <r>
    <s v="751-69-0068"/>
    <x v="1"/>
    <x v="1"/>
    <x v="1"/>
    <x v="1"/>
    <x v="3"/>
    <x v="427"/>
    <x v="9"/>
    <n v="44.658000000000001"/>
    <n v="937.81799999999998"/>
    <x v="35"/>
    <x v="268"/>
    <x v="0"/>
    <n v="893.16"/>
    <n v="4.7619047620000003"/>
    <n v="44.658000000000001"/>
    <n v="9"/>
  </r>
  <r>
    <s v="257-73-1380"/>
    <x v="1"/>
    <x v="1"/>
    <x v="0"/>
    <x v="1"/>
    <x v="3"/>
    <x v="428"/>
    <x v="7"/>
    <n v="16.585999999999999"/>
    <n v="348.30599999999998"/>
    <x v="40"/>
    <x v="320"/>
    <x v="0"/>
    <n v="331.72"/>
    <n v="4.7619047620000003"/>
    <n v="16.585999999999999"/>
    <n v="9.6"/>
  </r>
  <r>
    <s v="345-08-4992"/>
    <x v="0"/>
    <x v="0"/>
    <x v="1"/>
    <x v="1"/>
    <x v="2"/>
    <x v="429"/>
    <x v="3"/>
    <n v="10.196999999999999"/>
    <n v="214.137"/>
    <x v="1"/>
    <x v="321"/>
    <x v="2"/>
    <n v="203.94"/>
    <n v="4.7619047620000003"/>
    <n v="10.196999999999999"/>
    <n v="7.7"/>
  </r>
  <r>
    <s v="549-96-4200"/>
    <x v="1"/>
    <x v="1"/>
    <x v="0"/>
    <x v="1"/>
    <x v="4"/>
    <x v="430"/>
    <x v="7"/>
    <n v="3.4079999999999999"/>
    <n v="71.567999999999998"/>
    <x v="1"/>
    <x v="322"/>
    <x v="0"/>
    <n v="68.16"/>
    <n v="4.7619047620000003"/>
    <n v="3.4079999999999999"/>
    <n v="7"/>
  </r>
  <r>
    <s v="810-60-6344"/>
    <x v="1"/>
    <x v="1"/>
    <x v="1"/>
    <x v="0"/>
    <x v="1"/>
    <x v="431"/>
    <x v="2"/>
    <n v="16.344000000000001"/>
    <n v="343.22399999999999"/>
    <x v="13"/>
    <x v="242"/>
    <x v="2"/>
    <n v="326.88"/>
    <n v="4.7619047620000003"/>
    <n v="16.344000000000001"/>
    <n v="6.5"/>
  </r>
  <r>
    <s v="450-28-2866"/>
    <x v="1"/>
    <x v="1"/>
    <x v="0"/>
    <x v="1"/>
    <x v="4"/>
    <x v="432"/>
    <x v="1"/>
    <n v="4.3600000000000003"/>
    <n v="91.56"/>
    <x v="15"/>
    <x v="126"/>
    <x v="1"/>
    <n v="87.2"/>
    <n v="4.7619047620000003"/>
    <n v="4.3600000000000003"/>
    <n v="8.1"/>
  </r>
  <r>
    <s v="394-30-3170"/>
    <x v="2"/>
    <x v="2"/>
    <x v="0"/>
    <x v="0"/>
    <x v="3"/>
    <x v="433"/>
    <x v="2"/>
    <n v="35.372"/>
    <n v="742.81200000000001"/>
    <x v="23"/>
    <x v="323"/>
    <x v="2"/>
    <n v="707.44"/>
    <n v="4.7619047620000003"/>
    <n v="35.372"/>
    <n v="4.3"/>
  </r>
  <r>
    <s v="138-17-5109"/>
    <x v="0"/>
    <x v="0"/>
    <x v="0"/>
    <x v="0"/>
    <x v="2"/>
    <x v="434"/>
    <x v="9"/>
    <n v="40.144500000000001"/>
    <n v="843.03449999999998"/>
    <x v="15"/>
    <x v="324"/>
    <x v="2"/>
    <n v="802.89"/>
    <n v="4.7619047620000003"/>
    <n v="40.144500000000001"/>
    <n v="6.5"/>
  </r>
  <r>
    <s v="192-98-7397"/>
    <x v="1"/>
    <x v="1"/>
    <x v="1"/>
    <x v="1"/>
    <x v="5"/>
    <x v="435"/>
    <x v="8"/>
    <n v="0.63900000000000001"/>
    <n v="13.419"/>
    <x v="66"/>
    <x v="325"/>
    <x v="0"/>
    <n v="12.78"/>
    <n v="4.7619047620000003"/>
    <n v="0.63900000000000001"/>
    <n v="9.5"/>
  </r>
  <r>
    <s v="301-11-9629"/>
    <x v="0"/>
    <x v="0"/>
    <x v="1"/>
    <x v="0"/>
    <x v="3"/>
    <x v="436"/>
    <x v="0"/>
    <n v="6.6849999999999996"/>
    <n v="140.38499999999999"/>
    <x v="15"/>
    <x v="100"/>
    <x v="1"/>
    <n v="133.69999999999999"/>
    <n v="4.7619047620000003"/>
    <n v="6.6849999999999996"/>
    <n v="9.6999999999999993"/>
  </r>
  <r>
    <s v="390-80-5128"/>
    <x v="2"/>
    <x v="2"/>
    <x v="0"/>
    <x v="0"/>
    <x v="0"/>
    <x v="198"/>
    <x v="8"/>
    <n v="0.95750000000000002"/>
    <n v="20.107500000000002"/>
    <x v="26"/>
    <x v="326"/>
    <x v="2"/>
    <n v="19.149999999999999"/>
    <n v="4.7619047620000003"/>
    <n v="0.95750000000000002"/>
    <n v="9.5"/>
  </r>
  <r>
    <s v="235-46-8343"/>
    <x v="1"/>
    <x v="1"/>
    <x v="0"/>
    <x v="1"/>
    <x v="4"/>
    <x v="437"/>
    <x v="4"/>
    <n v="13.83"/>
    <n v="290.43"/>
    <x v="44"/>
    <x v="55"/>
    <x v="2"/>
    <n v="276.60000000000002"/>
    <n v="4.7619047620000003"/>
    <n v="13.83"/>
    <n v="8.9"/>
  </r>
  <r>
    <s v="453-12-7053"/>
    <x v="1"/>
    <x v="1"/>
    <x v="1"/>
    <x v="1"/>
    <x v="5"/>
    <x v="438"/>
    <x v="6"/>
    <n v="6.8609999999999998"/>
    <n v="144.08099999999999"/>
    <x v="24"/>
    <x v="180"/>
    <x v="2"/>
    <n v="137.22"/>
    <n v="4.7619047620000003"/>
    <n v="6.8609999999999998"/>
    <n v="6.5"/>
  </r>
  <r>
    <s v="296-11-7041"/>
    <x v="2"/>
    <x v="2"/>
    <x v="0"/>
    <x v="0"/>
    <x v="0"/>
    <x v="439"/>
    <x v="8"/>
    <n v="1.3534999999999999"/>
    <n v="28.423500000000001"/>
    <x v="52"/>
    <x v="105"/>
    <x v="2"/>
    <n v="27.07"/>
    <n v="4.7619047620000003"/>
    <n v="1.3534999999999999"/>
    <n v="5.3"/>
  </r>
  <r>
    <s v="449-27-2918"/>
    <x v="2"/>
    <x v="2"/>
    <x v="0"/>
    <x v="0"/>
    <x v="3"/>
    <x v="440"/>
    <x v="8"/>
    <n v="1.956"/>
    <n v="41.076000000000001"/>
    <x v="58"/>
    <x v="327"/>
    <x v="2"/>
    <n v="39.119999999999997"/>
    <n v="4.7619047620000003"/>
    <n v="1.956"/>
    <n v="9.6"/>
  </r>
  <r>
    <s v="891-01-7034"/>
    <x v="2"/>
    <x v="2"/>
    <x v="1"/>
    <x v="0"/>
    <x v="1"/>
    <x v="441"/>
    <x v="3"/>
    <n v="22.413"/>
    <n v="470.673"/>
    <x v="17"/>
    <x v="312"/>
    <x v="1"/>
    <n v="448.26"/>
    <n v="4.7619047620000003"/>
    <n v="22.413"/>
    <n v="6.7"/>
  </r>
  <r>
    <s v="744-09-5786"/>
    <x v="2"/>
    <x v="2"/>
    <x v="1"/>
    <x v="1"/>
    <x v="1"/>
    <x v="442"/>
    <x v="3"/>
    <n v="6.6029999999999998"/>
    <n v="138.66300000000001"/>
    <x v="56"/>
    <x v="68"/>
    <x v="1"/>
    <n v="132.06"/>
    <n v="4.7619047620000003"/>
    <n v="6.6029999999999998"/>
    <n v="7.6"/>
  </r>
  <r>
    <s v="727-17-0390"/>
    <x v="0"/>
    <x v="0"/>
    <x v="1"/>
    <x v="0"/>
    <x v="4"/>
    <x v="443"/>
    <x v="1"/>
    <n v="15.9025"/>
    <n v="333.95249999999999"/>
    <x v="32"/>
    <x v="31"/>
    <x v="0"/>
    <n v="318.05"/>
    <n v="4.7619047620000003"/>
    <n v="15.9025"/>
    <n v="4.8"/>
  </r>
  <r>
    <s v="568-88-3448"/>
    <x v="0"/>
    <x v="0"/>
    <x v="1"/>
    <x v="1"/>
    <x v="0"/>
    <x v="444"/>
    <x v="8"/>
    <n v="1.25"/>
    <n v="26.25"/>
    <x v="2"/>
    <x v="328"/>
    <x v="0"/>
    <n v="25"/>
    <n v="4.7619047620000003"/>
    <n v="1.25"/>
    <n v="5.5"/>
  </r>
  <r>
    <s v="187-83-5490"/>
    <x v="0"/>
    <x v="0"/>
    <x v="0"/>
    <x v="1"/>
    <x v="1"/>
    <x v="445"/>
    <x v="7"/>
    <n v="4.1539999999999999"/>
    <n v="87.233999999999995"/>
    <x v="82"/>
    <x v="329"/>
    <x v="1"/>
    <n v="83.08"/>
    <n v="4.7619047620000003"/>
    <n v="4.1539999999999999"/>
    <n v="4.7"/>
  </r>
  <r>
    <s v="767-54-1907"/>
    <x v="2"/>
    <x v="2"/>
    <x v="0"/>
    <x v="0"/>
    <x v="5"/>
    <x v="446"/>
    <x v="1"/>
    <n v="7.39"/>
    <n v="155.19"/>
    <x v="77"/>
    <x v="330"/>
    <x v="1"/>
    <n v="147.80000000000001"/>
    <n v="4.7619047620000003"/>
    <n v="7.39"/>
    <n v="6.9"/>
  </r>
  <r>
    <s v="710-46-4433"/>
    <x v="2"/>
    <x v="2"/>
    <x v="0"/>
    <x v="0"/>
    <x v="4"/>
    <x v="447"/>
    <x v="9"/>
    <n v="34.83"/>
    <n v="731.43"/>
    <x v="42"/>
    <x v="331"/>
    <x v="2"/>
    <n v="696.6"/>
    <n v="4.7619047620000003"/>
    <n v="34.83"/>
    <n v="4.5"/>
  </r>
  <r>
    <s v="533-33-5337"/>
    <x v="2"/>
    <x v="2"/>
    <x v="1"/>
    <x v="1"/>
    <x v="1"/>
    <x v="448"/>
    <x v="4"/>
    <n v="39.695"/>
    <n v="833.59500000000003"/>
    <x v="13"/>
    <x v="181"/>
    <x v="1"/>
    <n v="793.9"/>
    <n v="4.7619047620000003"/>
    <n v="39.695"/>
    <n v="6.2"/>
  </r>
  <r>
    <s v="325-90-8763"/>
    <x v="1"/>
    <x v="1"/>
    <x v="0"/>
    <x v="0"/>
    <x v="1"/>
    <x v="449"/>
    <x v="4"/>
    <n v="23.285"/>
    <n v="488.98500000000001"/>
    <x v="3"/>
    <x v="139"/>
    <x v="1"/>
    <n v="465.7"/>
    <n v="4.7619047620000003"/>
    <n v="23.285"/>
    <n v="7.6"/>
  </r>
  <r>
    <s v="729-46-7422"/>
    <x v="1"/>
    <x v="1"/>
    <x v="1"/>
    <x v="1"/>
    <x v="4"/>
    <x v="450"/>
    <x v="8"/>
    <n v="1.7945"/>
    <n v="37.6845"/>
    <x v="55"/>
    <x v="233"/>
    <x v="2"/>
    <n v="35.89"/>
    <n v="4.7619047620000003"/>
    <n v="1.7945"/>
    <n v="7.9"/>
  </r>
  <r>
    <s v="639-76-1242"/>
    <x v="1"/>
    <x v="1"/>
    <x v="1"/>
    <x v="1"/>
    <x v="4"/>
    <x v="451"/>
    <x v="1"/>
    <n v="10.130000000000001"/>
    <n v="212.73"/>
    <x v="36"/>
    <x v="332"/>
    <x v="1"/>
    <n v="202.6"/>
    <n v="4.7619047620000003"/>
    <n v="10.130000000000001"/>
    <n v="4.5"/>
  </r>
  <r>
    <s v="234-03-4040"/>
    <x v="2"/>
    <x v="2"/>
    <x v="0"/>
    <x v="0"/>
    <x v="4"/>
    <x v="452"/>
    <x v="4"/>
    <n v="36.524999999999999"/>
    <n v="767.02499999999998"/>
    <x v="2"/>
    <x v="298"/>
    <x v="2"/>
    <n v="730.5"/>
    <n v="4.7619047620000003"/>
    <n v="36.524999999999999"/>
    <n v="8.6999999999999993"/>
  </r>
  <r>
    <s v="326-71-2155"/>
    <x v="1"/>
    <x v="1"/>
    <x v="1"/>
    <x v="0"/>
    <x v="3"/>
    <x v="453"/>
    <x v="7"/>
    <n v="14.79"/>
    <n v="310.58999999999997"/>
    <x v="36"/>
    <x v="177"/>
    <x v="1"/>
    <n v="295.8"/>
    <n v="4.7619047620000003"/>
    <n v="14.79"/>
    <n v="6.1"/>
  </r>
  <r>
    <s v="320-32-8842"/>
    <x v="1"/>
    <x v="1"/>
    <x v="0"/>
    <x v="0"/>
    <x v="4"/>
    <x v="454"/>
    <x v="8"/>
    <n v="1.131"/>
    <n v="23.751000000000001"/>
    <x v="85"/>
    <x v="262"/>
    <x v="1"/>
    <n v="22.62"/>
    <n v="4.7619047620000003"/>
    <n v="1.131"/>
    <n v="6.4"/>
  </r>
  <r>
    <s v="470-32-9057"/>
    <x v="0"/>
    <x v="0"/>
    <x v="0"/>
    <x v="1"/>
    <x v="4"/>
    <x v="455"/>
    <x v="1"/>
    <n v="12.835000000000001"/>
    <n v="269.53500000000003"/>
    <x v="61"/>
    <x v="26"/>
    <x v="2"/>
    <n v="256.7"/>
    <n v="4.7619047620000003"/>
    <n v="12.835000000000001"/>
    <n v="9.1"/>
  </r>
  <r>
    <s v="878-30-2331"/>
    <x v="1"/>
    <x v="1"/>
    <x v="0"/>
    <x v="0"/>
    <x v="3"/>
    <x v="456"/>
    <x v="4"/>
    <n v="27.274999999999999"/>
    <n v="572.77499999999998"/>
    <x v="22"/>
    <x v="218"/>
    <x v="2"/>
    <n v="545.5"/>
    <n v="4.7619047620000003"/>
    <n v="27.274999999999999"/>
    <n v="7.1"/>
  </r>
  <r>
    <s v="440-59-5691"/>
    <x v="1"/>
    <x v="1"/>
    <x v="0"/>
    <x v="0"/>
    <x v="0"/>
    <x v="457"/>
    <x v="0"/>
    <n v="13.0025"/>
    <n v="273.05250000000001"/>
    <x v="4"/>
    <x v="258"/>
    <x v="2"/>
    <n v="260.05"/>
    <n v="4.7619047620000003"/>
    <n v="13.0025"/>
    <n v="7.7"/>
  </r>
  <r>
    <s v="554-53-3790"/>
    <x v="2"/>
    <x v="2"/>
    <x v="1"/>
    <x v="1"/>
    <x v="3"/>
    <x v="458"/>
    <x v="3"/>
    <n v="11.106"/>
    <n v="233.226"/>
    <x v="23"/>
    <x v="333"/>
    <x v="1"/>
    <n v="222.12"/>
    <n v="4.7619047620000003"/>
    <n v="11.106"/>
    <n v="4.5"/>
  </r>
  <r>
    <s v="746-19-0921"/>
    <x v="1"/>
    <x v="1"/>
    <x v="1"/>
    <x v="1"/>
    <x v="4"/>
    <x v="459"/>
    <x v="8"/>
    <n v="1.079"/>
    <n v="22.658999999999999"/>
    <x v="57"/>
    <x v="177"/>
    <x v="0"/>
    <n v="21.58"/>
    <n v="4.7619047620000003"/>
    <n v="1.079"/>
    <n v="7.2"/>
  </r>
  <r>
    <s v="233-34-0817"/>
    <x v="1"/>
    <x v="1"/>
    <x v="0"/>
    <x v="0"/>
    <x v="1"/>
    <x v="460"/>
    <x v="8"/>
    <n v="4.9420000000000002"/>
    <n v="103.782"/>
    <x v="42"/>
    <x v="274"/>
    <x v="1"/>
    <n v="98.84"/>
    <n v="4.7619047620000003"/>
    <n v="4.9420000000000002"/>
    <n v="8.4"/>
  </r>
  <r>
    <s v="767-05-1286"/>
    <x v="1"/>
    <x v="1"/>
    <x v="0"/>
    <x v="0"/>
    <x v="2"/>
    <x v="461"/>
    <x v="3"/>
    <n v="25.131"/>
    <n v="527.75099999999998"/>
    <x v="54"/>
    <x v="334"/>
    <x v="0"/>
    <n v="502.62"/>
    <n v="4.7619047620000003"/>
    <n v="25.131"/>
    <n v="5.4"/>
  </r>
  <r>
    <s v="340-21-9136"/>
    <x v="0"/>
    <x v="0"/>
    <x v="0"/>
    <x v="0"/>
    <x v="3"/>
    <x v="462"/>
    <x v="7"/>
    <n v="8.01"/>
    <n v="168.21"/>
    <x v="25"/>
    <x v="335"/>
    <x v="1"/>
    <n v="160.19999999999999"/>
    <n v="4.7619047620000003"/>
    <n v="8.01"/>
    <n v="9.6999999999999993"/>
  </r>
  <r>
    <s v="405-31-3305"/>
    <x v="0"/>
    <x v="0"/>
    <x v="0"/>
    <x v="1"/>
    <x v="5"/>
    <x v="463"/>
    <x v="4"/>
    <n v="21.565000000000001"/>
    <n v="452.86500000000001"/>
    <x v="30"/>
    <x v="201"/>
    <x v="2"/>
    <n v="431.3"/>
    <n v="4.7619047620000003"/>
    <n v="21.565000000000001"/>
    <n v="5.5"/>
  </r>
  <r>
    <s v="731-59-7531"/>
    <x v="2"/>
    <x v="2"/>
    <x v="0"/>
    <x v="1"/>
    <x v="0"/>
    <x v="464"/>
    <x v="2"/>
    <n v="29.027999999999999"/>
    <n v="609.58799999999997"/>
    <x v="73"/>
    <x v="326"/>
    <x v="1"/>
    <n v="580.55999999999995"/>
    <n v="4.7619047620000003"/>
    <n v="29.027999999999999"/>
    <n v="4.5999999999999996"/>
  </r>
  <r>
    <s v="676-39-6028"/>
    <x v="0"/>
    <x v="0"/>
    <x v="0"/>
    <x v="0"/>
    <x v="1"/>
    <x v="465"/>
    <x v="1"/>
    <n v="16.11"/>
    <n v="338.31"/>
    <x v="73"/>
    <x v="72"/>
    <x v="1"/>
    <n v="322.2"/>
    <n v="4.7619047620000003"/>
    <n v="16.11"/>
    <n v="6.6"/>
  </r>
  <r>
    <s v="502-05-1910"/>
    <x v="0"/>
    <x v="0"/>
    <x v="1"/>
    <x v="1"/>
    <x v="0"/>
    <x v="466"/>
    <x v="6"/>
    <n v="9.7769999999999992"/>
    <n v="205.31700000000001"/>
    <x v="6"/>
    <x v="82"/>
    <x v="2"/>
    <n v="195.54"/>
    <n v="4.7619047620000003"/>
    <n v="9.7769999999999992"/>
    <n v="6.3"/>
  </r>
  <r>
    <s v="485-30-8700"/>
    <x v="0"/>
    <x v="0"/>
    <x v="1"/>
    <x v="0"/>
    <x v="3"/>
    <x v="467"/>
    <x v="1"/>
    <n v="8.3149999999999995"/>
    <n v="174.61500000000001"/>
    <x v="79"/>
    <x v="279"/>
    <x v="2"/>
    <n v="166.3"/>
    <n v="4.7619047620000003"/>
    <n v="8.3149999999999995"/>
    <n v="4.2"/>
  </r>
  <r>
    <s v="598-47-9715"/>
    <x v="1"/>
    <x v="1"/>
    <x v="1"/>
    <x v="1"/>
    <x v="1"/>
    <x v="468"/>
    <x v="7"/>
    <n v="16.814"/>
    <n v="353.09399999999999"/>
    <x v="37"/>
    <x v="336"/>
    <x v="0"/>
    <n v="336.28"/>
    <n v="4.7619047620000003"/>
    <n v="16.814"/>
    <n v="4.4000000000000004"/>
  </r>
  <r>
    <s v="701-69-8742"/>
    <x v="2"/>
    <x v="2"/>
    <x v="1"/>
    <x v="1"/>
    <x v="3"/>
    <x v="469"/>
    <x v="4"/>
    <n v="17.184999999999999"/>
    <n v="360.88499999999999"/>
    <x v="32"/>
    <x v="41"/>
    <x v="0"/>
    <n v="343.7"/>
    <n v="4.7619047620000003"/>
    <n v="17.184999999999999"/>
    <n v="6.7"/>
  </r>
  <r>
    <s v="575-67-1508"/>
    <x v="0"/>
    <x v="0"/>
    <x v="1"/>
    <x v="1"/>
    <x v="1"/>
    <x v="412"/>
    <x v="8"/>
    <n v="1.93"/>
    <n v="40.53"/>
    <x v="71"/>
    <x v="55"/>
    <x v="0"/>
    <n v="38.6"/>
    <n v="4.7619047620000003"/>
    <n v="1.93"/>
    <n v="6.7"/>
  </r>
  <r>
    <s v="541-08-3113"/>
    <x v="1"/>
    <x v="1"/>
    <x v="1"/>
    <x v="1"/>
    <x v="4"/>
    <x v="470"/>
    <x v="2"/>
    <n v="26.388000000000002"/>
    <n v="554.14800000000002"/>
    <x v="30"/>
    <x v="245"/>
    <x v="1"/>
    <n v="527.76"/>
    <n v="4.7619047620000003"/>
    <n v="26.388000000000002"/>
    <n v="8.4"/>
  </r>
  <r>
    <s v="246-11-3901"/>
    <x v="1"/>
    <x v="1"/>
    <x v="1"/>
    <x v="0"/>
    <x v="1"/>
    <x v="471"/>
    <x v="4"/>
    <n v="16.399999999999999"/>
    <n v="344.4"/>
    <x v="42"/>
    <x v="294"/>
    <x v="1"/>
    <n v="328"/>
    <n v="4.7619047620000003"/>
    <n v="16.399999999999999"/>
    <n v="6.2"/>
  </r>
  <r>
    <s v="674-15-9296"/>
    <x v="0"/>
    <x v="0"/>
    <x v="1"/>
    <x v="1"/>
    <x v="3"/>
    <x v="472"/>
    <x v="1"/>
    <n v="9.2850000000000001"/>
    <n v="194.98500000000001"/>
    <x v="66"/>
    <x v="137"/>
    <x v="0"/>
    <n v="185.7"/>
    <n v="4.7619047620000003"/>
    <n v="9.2850000000000001"/>
    <n v="5"/>
  </r>
  <r>
    <s v="305-18-3552"/>
    <x v="2"/>
    <x v="2"/>
    <x v="0"/>
    <x v="1"/>
    <x v="2"/>
    <x v="473"/>
    <x v="4"/>
    <n v="30.19"/>
    <n v="633.99"/>
    <x v="12"/>
    <x v="15"/>
    <x v="1"/>
    <n v="603.79999999999995"/>
    <n v="4.7619047620000003"/>
    <n v="30.19"/>
    <n v="6"/>
  </r>
  <r>
    <s v="493-65-6248"/>
    <x v="1"/>
    <x v="1"/>
    <x v="0"/>
    <x v="0"/>
    <x v="3"/>
    <x v="474"/>
    <x v="4"/>
    <n v="18.489999999999998"/>
    <n v="388.29"/>
    <x v="17"/>
    <x v="28"/>
    <x v="2"/>
    <n v="369.8"/>
    <n v="4.7619047620000003"/>
    <n v="18.489999999999998"/>
    <n v="7"/>
  </r>
  <r>
    <s v="438-01-4015"/>
    <x v="2"/>
    <x v="2"/>
    <x v="0"/>
    <x v="0"/>
    <x v="3"/>
    <x v="475"/>
    <x v="7"/>
    <n v="9.8979999999999997"/>
    <n v="207.858"/>
    <x v="76"/>
    <x v="337"/>
    <x v="0"/>
    <n v="197.96"/>
    <n v="4.7619047620000003"/>
    <n v="9.8979999999999997"/>
    <n v="6.6"/>
  </r>
  <r>
    <s v="709-58-4068"/>
    <x v="2"/>
    <x v="2"/>
    <x v="1"/>
    <x v="0"/>
    <x v="5"/>
    <x v="476"/>
    <x v="4"/>
    <n v="20.545000000000002"/>
    <n v="431.44499999999999"/>
    <x v="38"/>
    <x v="51"/>
    <x v="1"/>
    <n v="410.9"/>
    <n v="4.7619047620000003"/>
    <n v="20.545000000000002"/>
    <n v="7.3"/>
  </r>
  <r>
    <s v="795-49-7276"/>
    <x v="0"/>
    <x v="0"/>
    <x v="1"/>
    <x v="1"/>
    <x v="5"/>
    <x v="457"/>
    <x v="7"/>
    <n v="7.43"/>
    <n v="156.03"/>
    <x v="28"/>
    <x v="188"/>
    <x v="0"/>
    <n v="148.6"/>
    <n v="4.7619047620000003"/>
    <n v="7.43"/>
    <n v="8.3000000000000007"/>
  </r>
  <r>
    <s v="556-72-8512"/>
    <x v="1"/>
    <x v="1"/>
    <x v="1"/>
    <x v="1"/>
    <x v="2"/>
    <x v="477"/>
    <x v="8"/>
    <n v="1.1479999999999999"/>
    <n v="24.108000000000001"/>
    <x v="74"/>
    <x v="338"/>
    <x v="1"/>
    <n v="22.96"/>
    <n v="4.7619047620000003"/>
    <n v="1.1479999999999999"/>
    <n v="4.3"/>
  </r>
  <r>
    <s v="627-95-3243"/>
    <x v="2"/>
    <x v="2"/>
    <x v="0"/>
    <x v="0"/>
    <x v="2"/>
    <x v="478"/>
    <x v="9"/>
    <n v="34.956000000000003"/>
    <n v="734.07600000000002"/>
    <x v="87"/>
    <x v="265"/>
    <x v="0"/>
    <n v="699.12"/>
    <n v="4.7619047620000003"/>
    <n v="34.956000000000003"/>
    <n v="9.8000000000000007"/>
  </r>
  <r>
    <s v="686-41-0932"/>
    <x v="2"/>
    <x v="2"/>
    <x v="1"/>
    <x v="0"/>
    <x v="5"/>
    <x v="479"/>
    <x v="5"/>
    <n v="3.47"/>
    <n v="72.87"/>
    <x v="45"/>
    <x v="28"/>
    <x v="0"/>
    <n v="69.400000000000006"/>
    <n v="4.7619047620000003"/>
    <n v="3.47"/>
    <n v="8.1999999999999993"/>
  </r>
  <r>
    <s v="510-09-5628"/>
    <x v="0"/>
    <x v="0"/>
    <x v="0"/>
    <x v="0"/>
    <x v="5"/>
    <x v="480"/>
    <x v="4"/>
    <n v="9.83"/>
    <n v="206.43"/>
    <x v="20"/>
    <x v="339"/>
    <x v="2"/>
    <n v="196.6"/>
    <n v="4.7619047620000003"/>
    <n v="9.83"/>
    <n v="7.2"/>
  </r>
  <r>
    <s v="608-04-3797"/>
    <x v="2"/>
    <x v="2"/>
    <x v="0"/>
    <x v="0"/>
    <x v="0"/>
    <x v="481"/>
    <x v="2"/>
    <n v="10.128"/>
    <n v="212.68799999999999"/>
    <x v="19"/>
    <x v="181"/>
    <x v="0"/>
    <n v="202.56"/>
    <n v="4.7619047620000003"/>
    <n v="10.128"/>
    <n v="8.6999999999999993"/>
  </r>
  <r>
    <s v="148-82-2527"/>
    <x v="1"/>
    <x v="1"/>
    <x v="0"/>
    <x v="0"/>
    <x v="2"/>
    <x v="482"/>
    <x v="4"/>
    <n v="6.06"/>
    <n v="127.26"/>
    <x v="19"/>
    <x v="189"/>
    <x v="2"/>
    <n v="121.2"/>
    <n v="4.7619047620000003"/>
    <n v="6.06"/>
    <n v="8.4"/>
  </r>
  <r>
    <s v="437-53-3084"/>
    <x v="2"/>
    <x v="2"/>
    <x v="1"/>
    <x v="1"/>
    <x v="5"/>
    <x v="483"/>
    <x v="5"/>
    <n v="9.9890000000000008"/>
    <n v="209.76900000000001"/>
    <x v="84"/>
    <x v="340"/>
    <x v="0"/>
    <n v="199.78"/>
    <n v="4.7619047620000003"/>
    <n v="9.9890000000000008"/>
    <n v="7.1"/>
  </r>
  <r>
    <s v="632-32-4574"/>
    <x v="2"/>
    <x v="2"/>
    <x v="1"/>
    <x v="1"/>
    <x v="3"/>
    <x v="484"/>
    <x v="2"/>
    <n v="30.367999999999999"/>
    <n v="637.72799999999995"/>
    <x v="80"/>
    <x v="341"/>
    <x v="1"/>
    <n v="607.36"/>
    <n v="4.7619047620000003"/>
    <n v="30.367999999999999"/>
    <n v="5.5"/>
  </r>
  <r>
    <s v="556-97-7101"/>
    <x v="1"/>
    <x v="1"/>
    <x v="1"/>
    <x v="0"/>
    <x v="1"/>
    <x v="485"/>
    <x v="5"/>
    <n v="6.3220000000000001"/>
    <n v="132.762"/>
    <x v="17"/>
    <x v="232"/>
    <x v="1"/>
    <n v="126.44"/>
    <n v="4.7619047620000003"/>
    <n v="6.3220000000000001"/>
    <n v="8.5"/>
  </r>
  <r>
    <s v="862-59-8517"/>
    <x v="1"/>
    <x v="1"/>
    <x v="1"/>
    <x v="0"/>
    <x v="4"/>
    <x v="486"/>
    <x v="3"/>
    <n v="27.071999999999999"/>
    <n v="568.51199999999994"/>
    <x v="3"/>
    <x v="342"/>
    <x v="1"/>
    <n v="541.44000000000005"/>
    <n v="4.7619047620000003"/>
    <n v="27.071999999999999"/>
    <n v="6.2"/>
  </r>
  <r>
    <s v="401-18-8016"/>
    <x v="2"/>
    <x v="2"/>
    <x v="0"/>
    <x v="0"/>
    <x v="3"/>
    <x v="487"/>
    <x v="8"/>
    <n v="4.9065000000000003"/>
    <n v="103.0365"/>
    <x v="18"/>
    <x v="24"/>
    <x v="1"/>
    <n v="98.13"/>
    <n v="4.7619047620000003"/>
    <n v="4.9065000000000003"/>
    <n v="8.9"/>
  </r>
  <r>
    <s v="420-18-8989"/>
    <x v="0"/>
    <x v="0"/>
    <x v="0"/>
    <x v="0"/>
    <x v="3"/>
    <x v="488"/>
    <x v="2"/>
    <n v="20.608000000000001"/>
    <n v="432.76799999999997"/>
    <x v="30"/>
    <x v="46"/>
    <x v="1"/>
    <n v="412.16"/>
    <n v="4.7619047620000003"/>
    <n v="20.608000000000001"/>
    <n v="9.6"/>
  </r>
  <r>
    <s v="277-63-2961"/>
    <x v="2"/>
    <x v="2"/>
    <x v="0"/>
    <x v="1"/>
    <x v="3"/>
    <x v="489"/>
    <x v="8"/>
    <n v="3.6985000000000001"/>
    <n v="77.668499999999995"/>
    <x v="36"/>
    <x v="183"/>
    <x v="2"/>
    <n v="73.97"/>
    <n v="4.7619047620000003"/>
    <n v="3.6985000000000001"/>
    <n v="5.4"/>
  </r>
  <r>
    <s v="573-98-8548"/>
    <x v="1"/>
    <x v="1"/>
    <x v="0"/>
    <x v="0"/>
    <x v="5"/>
    <x v="490"/>
    <x v="8"/>
    <n v="1.595"/>
    <n v="33.494999999999997"/>
    <x v="0"/>
    <x v="343"/>
    <x v="0"/>
    <n v="31.9"/>
    <n v="4.7619047620000003"/>
    <n v="1.595"/>
    <n v="9.1"/>
  </r>
  <r>
    <s v="620-02-2046"/>
    <x v="1"/>
    <x v="1"/>
    <x v="1"/>
    <x v="1"/>
    <x v="2"/>
    <x v="491"/>
    <x v="5"/>
    <n v="6.94"/>
    <n v="145.74"/>
    <x v="3"/>
    <x v="28"/>
    <x v="0"/>
    <n v="138.80000000000001"/>
    <n v="4.7619047620000003"/>
    <n v="6.94"/>
    <n v="9"/>
  </r>
  <r>
    <s v="282-35-2475"/>
    <x v="2"/>
    <x v="2"/>
    <x v="1"/>
    <x v="0"/>
    <x v="3"/>
    <x v="492"/>
    <x v="5"/>
    <n v="9.3309999999999995"/>
    <n v="195.95099999999999"/>
    <x v="5"/>
    <x v="344"/>
    <x v="1"/>
    <n v="186.62"/>
    <n v="4.7619047620000003"/>
    <n v="9.3309999999999995"/>
    <n v="6.3"/>
  </r>
  <r>
    <s v="511-54-3087"/>
    <x v="2"/>
    <x v="2"/>
    <x v="1"/>
    <x v="1"/>
    <x v="3"/>
    <x v="493"/>
    <x v="8"/>
    <n v="4.4225000000000003"/>
    <n v="92.872500000000002"/>
    <x v="6"/>
    <x v="345"/>
    <x v="2"/>
    <n v="88.45"/>
    <n v="4.7619047620000003"/>
    <n v="4.4225000000000003"/>
    <n v="9.5"/>
  </r>
  <r>
    <s v="726-29-6793"/>
    <x v="0"/>
    <x v="0"/>
    <x v="0"/>
    <x v="1"/>
    <x v="1"/>
    <x v="494"/>
    <x v="2"/>
    <n v="9.6720000000000006"/>
    <n v="203.11199999999999"/>
    <x v="26"/>
    <x v="98"/>
    <x v="0"/>
    <n v="193.44"/>
    <n v="4.7619047620000003"/>
    <n v="9.6720000000000006"/>
    <n v="9.8000000000000007"/>
  </r>
  <r>
    <s v="387-49-4215"/>
    <x v="2"/>
    <x v="2"/>
    <x v="0"/>
    <x v="0"/>
    <x v="3"/>
    <x v="495"/>
    <x v="6"/>
    <n v="7.2750000000000004"/>
    <n v="152.77500000000001"/>
    <x v="66"/>
    <x v="165"/>
    <x v="1"/>
    <n v="145.5"/>
    <n v="4.7619047620000003"/>
    <n v="7.2750000000000004"/>
    <n v="6.7"/>
  </r>
  <r>
    <s v="862-17-9201"/>
    <x v="2"/>
    <x v="2"/>
    <x v="1"/>
    <x v="0"/>
    <x v="4"/>
    <x v="413"/>
    <x v="3"/>
    <n v="25.215"/>
    <n v="529.51499999999999"/>
    <x v="71"/>
    <x v="346"/>
    <x v="2"/>
    <n v="504.3"/>
    <n v="4.7619047620000003"/>
    <n v="25.215"/>
    <n v="7.7"/>
  </r>
  <r>
    <s v="291-21-5991"/>
    <x v="2"/>
    <x v="2"/>
    <x v="0"/>
    <x v="1"/>
    <x v="0"/>
    <x v="496"/>
    <x v="1"/>
    <n v="15.3225"/>
    <n v="321.77249999999998"/>
    <x v="14"/>
    <x v="296"/>
    <x v="1"/>
    <n v="306.45"/>
    <n v="4.7619047620000003"/>
    <n v="15.3225"/>
    <n v="7"/>
  </r>
  <r>
    <s v="602-80-9671"/>
    <x v="1"/>
    <x v="1"/>
    <x v="0"/>
    <x v="0"/>
    <x v="2"/>
    <x v="497"/>
    <x v="3"/>
    <n v="4.7850000000000001"/>
    <n v="100.485"/>
    <x v="57"/>
    <x v="8"/>
    <x v="2"/>
    <n v="95.7"/>
    <n v="4.7619047620000003"/>
    <n v="4.7850000000000001"/>
    <n v="5.0999999999999996"/>
  </r>
  <r>
    <s v="347-72-6115"/>
    <x v="2"/>
    <x v="2"/>
    <x v="0"/>
    <x v="0"/>
    <x v="3"/>
    <x v="498"/>
    <x v="0"/>
    <n v="31.759"/>
    <n v="666.93899999999996"/>
    <x v="65"/>
    <x v="172"/>
    <x v="2"/>
    <n v="635.17999999999995"/>
    <n v="4.7619047620000003"/>
    <n v="31.759"/>
    <n v="6.2"/>
  </r>
  <r>
    <s v="209-61-0206"/>
    <x v="0"/>
    <x v="0"/>
    <x v="1"/>
    <x v="0"/>
    <x v="2"/>
    <x v="499"/>
    <x v="1"/>
    <n v="10.727499999999999"/>
    <n v="225.2775"/>
    <x v="0"/>
    <x v="260"/>
    <x v="0"/>
    <n v="214.55"/>
    <n v="4.7619047620000003"/>
    <n v="10.727499999999999"/>
    <n v="6.1"/>
  </r>
  <r>
    <s v="595-27-4851"/>
    <x v="0"/>
    <x v="0"/>
    <x v="1"/>
    <x v="0"/>
    <x v="5"/>
    <x v="500"/>
    <x v="0"/>
    <n v="18.998000000000001"/>
    <n v="398.95800000000003"/>
    <x v="3"/>
    <x v="347"/>
    <x v="0"/>
    <n v="379.96"/>
    <n v="4.7619047620000003"/>
    <n v="18.998000000000001"/>
    <n v="9.3000000000000007"/>
  </r>
  <r>
    <s v="189-52-0236"/>
    <x v="0"/>
    <x v="0"/>
    <x v="1"/>
    <x v="1"/>
    <x v="1"/>
    <x v="501"/>
    <x v="0"/>
    <n v="34.842500000000001"/>
    <n v="731.6925"/>
    <x v="86"/>
    <x v="348"/>
    <x v="1"/>
    <n v="696.85"/>
    <n v="4.7619047620000003"/>
    <n v="34.842500000000001"/>
    <n v="7.6"/>
  </r>
  <r>
    <s v="503-07-0930"/>
    <x v="1"/>
    <x v="1"/>
    <x v="0"/>
    <x v="1"/>
    <x v="3"/>
    <x v="502"/>
    <x v="0"/>
    <n v="20.436499999999999"/>
    <n v="429.16649999999998"/>
    <x v="55"/>
    <x v="349"/>
    <x v="2"/>
    <n v="408.73"/>
    <n v="4.7619047620000003"/>
    <n v="20.436499999999999"/>
    <n v="8.1999999999999993"/>
  </r>
  <r>
    <s v="413-20-6708"/>
    <x v="1"/>
    <x v="1"/>
    <x v="0"/>
    <x v="0"/>
    <x v="5"/>
    <x v="503"/>
    <x v="8"/>
    <n v="2.5735000000000001"/>
    <n v="54.043500000000002"/>
    <x v="79"/>
    <x v="350"/>
    <x v="0"/>
    <n v="51.47"/>
    <n v="4.7619047620000003"/>
    <n v="2.5735000000000001"/>
    <n v="8.5"/>
  </r>
  <r>
    <s v="425-85-2085"/>
    <x v="2"/>
    <x v="2"/>
    <x v="0"/>
    <x v="1"/>
    <x v="0"/>
    <x v="504"/>
    <x v="1"/>
    <n v="13.715"/>
    <n v="288.01499999999999"/>
    <x v="14"/>
    <x v="13"/>
    <x v="0"/>
    <n v="274.3"/>
    <n v="4.7619047620000003"/>
    <n v="13.715"/>
    <n v="9.8000000000000007"/>
  </r>
  <r>
    <s v="521-18-7827"/>
    <x v="1"/>
    <x v="1"/>
    <x v="0"/>
    <x v="1"/>
    <x v="2"/>
    <x v="505"/>
    <x v="1"/>
    <n v="9.8475000000000001"/>
    <n v="206.79750000000001"/>
    <x v="49"/>
    <x v="351"/>
    <x v="2"/>
    <n v="196.95"/>
    <n v="4.7619047620000003"/>
    <n v="9.8475000000000001"/>
    <n v="8.6999999999999993"/>
  </r>
  <r>
    <s v="220-28-1851"/>
    <x v="0"/>
    <x v="0"/>
    <x v="1"/>
    <x v="1"/>
    <x v="2"/>
    <x v="506"/>
    <x v="5"/>
    <n v="3.4729999999999999"/>
    <n v="72.933000000000007"/>
    <x v="59"/>
    <x v="92"/>
    <x v="0"/>
    <n v="69.459999999999994"/>
    <n v="4.7619047620000003"/>
    <n v="3.4729999999999999"/>
    <n v="9.6999999999999993"/>
  </r>
  <r>
    <s v="600-38-9738"/>
    <x v="1"/>
    <x v="1"/>
    <x v="0"/>
    <x v="1"/>
    <x v="3"/>
    <x v="507"/>
    <x v="1"/>
    <n v="17.98"/>
    <n v="377.58"/>
    <x v="29"/>
    <x v="184"/>
    <x v="2"/>
    <n v="359.6"/>
    <n v="4.7619047620000003"/>
    <n v="17.98"/>
    <n v="4.3"/>
  </r>
  <r>
    <s v="734-91-1155"/>
    <x v="2"/>
    <x v="2"/>
    <x v="1"/>
    <x v="0"/>
    <x v="1"/>
    <x v="508"/>
    <x v="6"/>
    <n v="6.8564999999999996"/>
    <n v="143.98650000000001"/>
    <x v="58"/>
    <x v="352"/>
    <x v="2"/>
    <n v="137.13"/>
    <n v="4.7619047620000003"/>
    <n v="6.8564999999999996"/>
    <n v="7.7"/>
  </r>
  <r>
    <s v="451-28-5717"/>
    <x v="1"/>
    <x v="1"/>
    <x v="0"/>
    <x v="0"/>
    <x v="2"/>
    <x v="509"/>
    <x v="3"/>
    <n v="24.951000000000001"/>
    <n v="523.971"/>
    <x v="80"/>
    <x v="219"/>
    <x v="1"/>
    <n v="499.02"/>
    <n v="4.7619047620000003"/>
    <n v="24.951000000000001"/>
    <n v="7.3"/>
  </r>
  <r>
    <s v="609-81-8548"/>
    <x v="0"/>
    <x v="0"/>
    <x v="0"/>
    <x v="0"/>
    <x v="2"/>
    <x v="510"/>
    <x v="3"/>
    <n v="11.231999999999999"/>
    <n v="235.87200000000001"/>
    <x v="10"/>
    <x v="353"/>
    <x v="2"/>
    <n v="224.64"/>
    <n v="4.7619047620000003"/>
    <n v="11.231999999999999"/>
    <n v="5.9"/>
  </r>
  <r>
    <s v="133-14-7229"/>
    <x v="1"/>
    <x v="1"/>
    <x v="1"/>
    <x v="1"/>
    <x v="0"/>
    <x v="511"/>
    <x v="5"/>
    <n v="6.2869999999999999"/>
    <n v="132.02699999999999"/>
    <x v="17"/>
    <x v="354"/>
    <x v="1"/>
    <n v="125.74"/>
    <n v="4.7619047620000003"/>
    <n v="6.2869999999999999"/>
    <n v="5"/>
  </r>
  <r>
    <s v="534-01-4457"/>
    <x v="0"/>
    <x v="0"/>
    <x v="1"/>
    <x v="1"/>
    <x v="4"/>
    <x v="512"/>
    <x v="3"/>
    <n v="24.513000000000002"/>
    <n v="514.77300000000002"/>
    <x v="3"/>
    <x v="6"/>
    <x v="2"/>
    <n v="490.26"/>
    <n v="4.7619047620000003"/>
    <n v="24.513000000000002"/>
    <n v="8"/>
  </r>
  <r>
    <s v="719-89-8991"/>
    <x v="0"/>
    <x v="0"/>
    <x v="0"/>
    <x v="0"/>
    <x v="3"/>
    <x v="513"/>
    <x v="1"/>
    <n v="22.852499999999999"/>
    <n v="479.90249999999997"/>
    <x v="6"/>
    <x v="355"/>
    <x v="0"/>
    <n v="457.05"/>
    <n v="4.7619047620000003"/>
    <n v="22.852499999999999"/>
    <n v="7.1"/>
  </r>
  <r>
    <s v="286-62-6248"/>
    <x v="2"/>
    <x v="2"/>
    <x v="1"/>
    <x v="1"/>
    <x v="5"/>
    <x v="514"/>
    <x v="7"/>
    <n v="7.8419999999999996"/>
    <n v="164.68199999999999"/>
    <x v="65"/>
    <x v="356"/>
    <x v="2"/>
    <n v="156.84"/>
    <n v="4.7619047620000003"/>
    <n v="7.8419999999999996"/>
    <n v="9"/>
  </r>
  <r>
    <s v="339-38-9982"/>
    <x v="2"/>
    <x v="2"/>
    <x v="0"/>
    <x v="1"/>
    <x v="5"/>
    <x v="515"/>
    <x v="5"/>
    <n v="5.9859999999999998"/>
    <n v="125.706"/>
    <x v="50"/>
    <x v="304"/>
    <x v="0"/>
    <n v="119.72"/>
    <n v="4.7619047620000003"/>
    <n v="5.9859999999999998"/>
    <n v="6.7"/>
  </r>
  <r>
    <s v="827-44-5872"/>
    <x v="2"/>
    <x v="2"/>
    <x v="0"/>
    <x v="0"/>
    <x v="4"/>
    <x v="516"/>
    <x v="4"/>
    <n v="27.18"/>
    <n v="570.78"/>
    <x v="13"/>
    <x v="56"/>
    <x v="2"/>
    <n v="543.6"/>
    <n v="4.7619047620000003"/>
    <n v="27.18"/>
    <n v="6.1"/>
  </r>
  <r>
    <s v="827-77-7633"/>
    <x v="0"/>
    <x v="0"/>
    <x v="1"/>
    <x v="1"/>
    <x v="3"/>
    <x v="517"/>
    <x v="9"/>
    <n v="44.140500000000003"/>
    <n v="926.95050000000003"/>
    <x v="21"/>
    <x v="357"/>
    <x v="1"/>
    <n v="882.81"/>
    <n v="4.7619047620000003"/>
    <n v="44.140500000000003"/>
    <n v="9.3000000000000007"/>
  </r>
  <r>
    <s v="287-83-1405"/>
    <x v="0"/>
    <x v="0"/>
    <x v="1"/>
    <x v="1"/>
    <x v="0"/>
    <x v="518"/>
    <x v="3"/>
    <n v="7.6289999999999996"/>
    <n v="160.209"/>
    <x v="12"/>
    <x v="54"/>
    <x v="0"/>
    <n v="152.58000000000001"/>
    <n v="4.7619047620000003"/>
    <n v="7.6289999999999996"/>
    <n v="7"/>
  </r>
  <r>
    <s v="435-13-4908"/>
    <x v="0"/>
    <x v="0"/>
    <x v="0"/>
    <x v="1"/>
    <x v="5"/>
    <x v="519"/>
    <x v="2"/>
    <n v="34.671999999999997"/>
    <n v="728.11199999999997"/>
    <x v="46"/>
    <x v="358"/>
    <x v="2"/>
    <n v="693.44"/>
    <n v="4.7619047620000003"/>
    <n v="34.671999999999997"/>
    <n v="7.2"/>
  </r>
  <r>
    <s v="857-67-9057"/>
    <x v="2"/>
    <x v="2"/>
    <x v="1"/>
    <x v="1"/>
    <x v="1"/>
    <x v="520"/>
    <x v="4"/>
    <n v="11.475"/>
    <n v="240.97499999999999"/>
    <x v="10"/>
    <x v="25"/>
    <x v="0"/>
    <n v="229.5"/>
    <n v="4.7619047620000003"/>
    <n v="11.475"/>
    <n v="8.1999999999999993"/>
  </r>
  <r>
    <s v="236-27-1144"/>
    <x v="1"/>
    <x v="1"/>
    <x v="1"/>
    <x v="0"/>
    <x v="4"/>
    <x v="521"/>
    <x v="9"/>
    <n v="7.3395000000000001"/>
    <n v="154.12950000000001"/>
    <x v="58"/>
    <x v="359"/>
    <x v="0"/>
    <n v="146.79"/>
    <n v="4.7619047620000003"/>
    <n v="7.3395000000000001"/>
    <n v="8.4"/>
  </r>
  <r>
    <s v="892-05-6689"/>
    <x v="0"/>
    <x v="0"/>
    <x v="1"/>
    <x v="0"/>
    <x v="2"/>
    <x v="522"/>
    <x v="1"/>
    <n v="7.08"/>
    <n v="148.68"/>
    <x v="16"/>
    <x v="360"/>
    <x v="0"/>
    <n v="141.6"/>
    <n v="4.7619047620000003"/>
    <n v="7.08"/>
    <n v="6.2"/>
  </r>
  <r>
    <s v="583-41-4548"/>
    <x v="1"/>
    <x v="1"/>
    <x v="1"/>
    <x v="1"/>
    <x v="2"/>
    <x v="523"/>
    <x v="0"/>
    <n v="5.8345000000000002"/>
    <n v="122.5245"/>
    <x v="13"/>
    <x v="150"/>
    <x v="0"/>
    <n v="116.69"/>
    <n v="4.7619047620000003"/>
    <n v="5.8345000000000002"/>
    <n v="7.4"/>
  </r>
  <r>
    <s v="339-12-4827"/>
    <x v="2"/>
    <x v="2"/>
    <x v="0"/>
    <x v="0"/>
    <x v="5"/>
    <x v="524"/>
    <x v="8"/>
    <n v="3.698"/>
    <n v="77.658000000000001"/>
    <x v="0"/>
    <x v="102"/>
    <x v="2"/>
    <n v="73.959999999999994"/>
    <n v="4.7619047620000003"/>
    <n v="3.698"/>
    <n v="5"/>
  </r>
  <r>
    <s v="643-38-7867"/>
    <x v="0"/>
    <x v="0"/>
    <x v="1"/>
    <x v="1"/>
    <x v="2"/>
    <x v="525"/>
    <x v="8"/>
    <n v="4.8970000000000002"/>
    <n v="102.837"/>
    <x v="37"/>
    <x v="231"/>
    <x v="0"/>
    <n v="97.94"/>
    <n v="4.7619047620000003"/>
    <n v="4.8970000000000002"/>
    <n v="6.9"/>
  </r>
  <r>
    <s v="308-81-0538"/>
    <x v="0"/>
    <x v="0"/>
    <x v="1"/>
    <x v="0"/>
    <x v="5"/>
    <x v="452"/>
    <x v="7"/>
    <n v="14.61"/>
    <n v="306.81"/>
    <x v="6"/>
    <x v="361"/>
    <x v="2"/>
    <n v="292.2"/>
    <n v="4.7619047620000003"/>
    <n v="14.61"/>
    <n v="4.9000000000000004"/>
  </r>
  <r>
    <s v="358-88-9262"/>
    <x v="1"/>
    <x v="1"/>
    <x v="0"/>
    <x v="0"/>
    <x v="4"/>
    <x v="526"/>
    <x v="3"/>
    <n v="26.244"/>
    <n v="551.12400000000002"/>
    <x v="60"/>
    <x v="362"/>
    <x v="0"/>
    <n v="524.88"/>
    <n v="4.7619047620000003"/>
    <n v="26.244"/>
    <n v="5.0999999999999996"/>
  </r>
  <r>
    <s v="460-35-4390"/>
    <x v="0"/>
    <x v="0"/>
    <x v="1"/>
    <x v="1"/>
    <x v="2"/>
    <x v="527"/>
    <x v="6"/>
    <n v="4.6020000000000003"/>
    <n v="96.641999999999996"/>
    <x v="49"/>
    <x v="224"/>
    <x v="0"/>
    <n v="92.04"/>
    <n v="4.7619047620000003"/>
    <n v="4.6020000000000003"/>
    <n v="9.1"/>
  </r>
  <r>
    <s v="343-87-0864"/>
    <x v="1"/>
    <x v="1"/>
    <x v="0"/>
    <x v="1"/>
    <x v="0"/>
    <x v="528"/>
    <x v="8"/>
    <n v="3.794"/>
    <n v="79.674000000000007"/>
    <x v="75"/>
    <x v="363"/>
    <x v="2"/>
    <n v="75.88"/>
    <n v="4.7619047620000003"/>
    <n v="3.794"/>
    <n v="7.1"/>
  </r>
  <r>
    <s v="173-50-1108"/>
    <x v="2"/>
    <x v="2"/>
    <x v="0"/>
    <x v="0"/>
    <x v="3"/>
    <x v="529"/>
    <x v="7"/>
    <n v="4.0359999999999996"/>
    <n v="84.756"/>
    <x v="77"/>
    <x v="280"/>
    <x v="2"/>
    <n v="80.72"/>
    <n v="4.7619047620000003"/>
    <n v="4.0359999999999996"/>
    <n v="5"/>
  </r>
  <r>
    <s v="243-47-2663"/>
    <x v="1"/>
    <x v="1"/>
    <x v="0"/>
    <x v="1"/>
    <x v="1"/>
    <x v="530"/>
    <x v="3"/>
    <n v="5.6310000000000002"/>
    <n v="118.251"/>
    <x v="26"/>
    <x v="122"/>
    <x v="2"/>
    <n v="112.62"/>
    <n v="4.7619047620000003"/>
    <n v="5.6310000000000002"/>
    <n v="5.5"/>
  </r>
  <r>
    <s v="841-18-8232"/>
    <x v="2"/>
    <x v="2"/>
    <x v="1"/>
    <x v="0"/>
    <x v="4"/>
    <x v="531"/>
    <x v="8"/>
    <n v="3.56"/>
    <n v="74.760000000000005"/>
    <x v="0"/>
    <x v="364"/>
    <x v="2"/>
    <n v="71.2"/>
    <n v="4.7619047620000003"/>
    <n v="3.56"/>
    <n v="9.1999999999999993"/>
  </r>
  <r>
    <s v="701-23-5550"/>
    <x v="2"/>
    <x v="2"/>
    <x v="0"/>
    <x v="1"/>
    <x v="2"/>
    <x v="532"/>
    <x v="7"/>
    <n v="7.7619999999999996"/>
    <n v="163.00200000000001"/>
    <x v="35"/>
    <x v="61"/>
    <x v="0"/>
    <n v="155.24"/>
    <n v="4.7619047620000003"/>
    <n v="7.7619999999999996"/>
    <n v="4.9000000000000004"/>
  </r>
  <r>
    <s v="647-50-1224"/>
    <x v="0"/>
    <x v="0"/>
    <x v="1"/>
    <x v="0"/>
    <x v="5"/>
    <x v="533"/>
    <x v="4"/>
    <n v="14.71"/>
    <n v="308.91000000000003"/>
    <x v="52"/>
    <x v="293"/>
    <x v="0"/>
    <n v="294.2"/>
    <n v="4.7619047620000003"/>
    <n v="14.71"/>
    <n v="8.9"/>
  </r>
  <r>
    <s v="541-48-8554"/>
    <x v="0"/>
    <x v="0"/>
    <x v="1"/>
    <x v="1"/>
    <x v="3"/>
    <x v="534"/>
    <x v="9"/>
    <n v="27.427499999999998"/>
    <n v="575.97749999999996"/>
    <x v="27"/>
    <x v="365"/>
    <x v="2"/>
    <n v="548.54999999999995"/>
    <n v="4.7619047620000003"/>
    <n v="27.427499999999998"/>
    <n v="6"/>
  </r>
  <r>
    <s v="539-21-7227"/>
    <x v="2"/>
    <x v="2"/>
    <x v="1"/>
    <x v="0"/>
    <x v="3"/>
    <x v="535"/>
    <x v="1"/>
    <n v="12.885"/>
    <n v="270.58499999999998"/>
    <x v="53"/>
    <x v="366"/>
    <x v="1"/>
    <n v="257.7"/>
    <n v="4.7619047620000003"/>
    <n v="12.885"/>
    <n v="4.2"/>
  </r>
  <r>
    <s v="213-32-1216"/>
    <x v="0"/>
    <x v="0"/>
    <x v="1"/>
    <x v="0"/>
    <x v="1"/>
    <x v="536"/>
    <x v="3"/>
    <n v="19.818000000000001"/>
    <n v="416.178"/>
    <x v="54"/>
    <x v="367"/>
    <x v="1"/>
    <n v="396.36"/>
    <n v="4.7619047620000003"/>
    <n v="19.818000000000001"/>
    <n v="7.3"/>
  </r>
  <r>
    <s v="747-58-7183"/>
    <x v="2"/>
    <x v="2"/>
    <x v="1"/>
    <x v="1"/>
    <x v="5"/>
    <x v="537"/>
    <x v="6"/>
    <n v="8.5905000000000005"/>
    <n v="180.40049999999999"/>
    <x v="57"/>
    <x v="106"/>
    <x v="0"/>
    <n v="171.81"/>
    <n v="4.7619047620000003"/>
    <n v="8.5905000000000005"/>
    <n v="6.5"/>
  </r>
  <r>
    <s v="582-52-8065"/>
    <x v="2"/>
    <x v="2"/>
    <x v="1"/>
    <x v="0"/>
    <x v="5"/>
    <x v="538"/>
    <x v="9"/>
    <n v="24.439499999999999"/>
    <n v="513.22950000000003"/>
    <x v="70"/>
    <x v="368"/>
    <x v="1"/>
    <n v="488.79"/>
    <n v="4.7619047620000003"/>
    <n v="24.439499999999999"/>
    <n v="8.9"/>
  </r>
  <r>
    <s v="210-57-1719"/>
    <x v="2"/>
    <x v="2"/>
    <x v="1"/>
    <x v="0"/>
    <x v="0"/>
    <x v="539"/>
    <x v="9"/>
    <n v="26.207999999999998"/>
    <n v="550.36800000000005"/>
    <x v="63"/>
    <x v="369"/>
    <x v="1"/>
    <n v="524.16"/>
    <n v="4.7619047620000003"/>
    <n v="26.207999999999998"/>
    <n v="9.6999999999999993"/>
  </r>
  <r>
    <s v="399-69-4630"/>
    <x v="1"/>
    <x v="1"/>
    <x v="1"/>
    <x v="1"/>
    <x v="1"/>
    <x v="540"/>
    <x v="3"/>
    <n v="6.6630000000000003"/>
    <n v="139.923"/>
    <x v="37"/>
    <x v="81"/>
    <x v="2"/>
    <n v="133.26"/>
    <n v="4.7619047620000003"/>
    <n v="6.6630000000000003"/>
    <n v="8.6"/>
  </r>
  <r>
    <s v="134-75-2619"/>
    <x v="0"/>
    <x v="0"/>
    <x v="0"/>
    <x v="1"/>
    <x v="1"/>
    <x v="541"/>
    <x v="0"/>
    <n v="6.7619999999999996"/>
    <n v="142.00200000000001"/>
    <x v="5"/>
    <x v="370"/>
    <x v="1"/>
    <n v="135.24"/>
    <n v="4.7619047620000003"/>
    <n v="6.7619999999999996"/>
    <n v="6.9"/>
  </r>
  <r>
    <s v="356-44-8813"/>
    <x v="2"/>
    <x v="2"/>
    <x v="1"/>
    <x v="1"/>
    <x v="2"/>
    <x v="542"/>
    <x v="6"/>
    <n v="5.6219999999999999"/>
    <n v="118.062"/>
    <x v="40"/>
    <x v="286"/>
    <x v="2"/>
    <n v="112.44"/>
    <n v="4.7619047620000003"/>
    <n v="5.6219999999999999"/>
    <n v="7.7"/>
  </r>
  <r>
    <s v="198-66-9832"/>
    <x v="2"/>
    <x v="2"/>
    <x v="0"/>
    <x v="0"/>
    <x v="5"/>
    <x v="543"/>
    <x v="5"/>
    <n v="7.2039999999999997"/>
    <n v="151.28399999999999"/>
    <x v="87"/>
    <x v="371"/>
    <x v="1"/>
    <n v="144.08000000000001"/>
    <n v="4.7619047620000003"/>
    <n v="7.2039999999999997"/>
    <n v="9.5"/>
  </r>
  <r>
    <s v="283-26-5248"/>
    <x v="1"/>
    <x v="1"/>
    <x v="0"/>
    <x v="0"/>
    <x v="4"/>
    <x v="544"/>
    <x v="4"/>
    <n v="49.26"/>
    <n v="1034.46"/>
    <x v="74"/>
    <x v="169"/>
    <x v="0"/>
    <n v="985.2"/>
    <n v="4.7619047620000003"/>
    <n v="49.26"/>
    <n v="4.5"/>
  </r>
  <r>
    <s v="712-39-0363"/>
    <x v="0"/>
    <x v="0"/>
    <x v="0"/>
    <x v="1"/>
    <x v="4"/>
    <x v="545"/>
    <x v="3"/>
    <n v="12.497999999999999"/>
    <n v="262.45800000000003"/>
    <x v="56"/>
    <x v="145"/>
    <x v="0"/>
    <n v="249.96"/>
    <n v="4.7619047620000003"/>
    <n v="12.497999999999999"/>
    <n v="5.6"/>
  </r>
  <r>
    <s v="218-59-9410"/>
    <x v="0"/>
    <x v="0"/>
    <x v="0"/>
    <x v="0"/>
    <x v="2"/>
    <x v="546"/>
    <x v="6"/>
    <n v="10.863"/>
    <n v="228.12299999999999"/>
    <x v="14"/>
    <x v="336"/>
    <x v="0"/>
    <n v="217.26"/>
    <n v="4.7619047620000003"/>
    <n v="10.863"/>
    <n v="8.1999999999999993"/>
  </r>
  <r>
    <s v="174-75-0888"/>
    <x v="2"/>
    <x v="2"/>
    <x v="1"/>
    <x v="1"/>
    <x v="1"/>
    <x v="459"/>
    <x v="9"/>
    <n v="9.7110000000000003"/>
    <n v="203.93100000000001"/>
    <x v="86"/>
    <x v="372"/>
    <x v="1"/>
    <n v="194.22"/>
    <n v="4.7619047620000003"/>
    <n v="9.7110000000000003"/>
    <n v="7.3"/>
  </r>
  <r>
    <s v="866-99-7614"/>
    <x v="1"/>
    <x v="1"/>
    <x v="1"/>
    <x v="1"/>
    <x v="4"/>
    <x v="547"/>
    <x v="4"/>
    <n v="44.6"/>
    <n v="936.6"/>
    <x v="48"/>
    <x v="324"/>
    <x v="2"/>
    <n v="892"/>
    <n v="4.7619047620000003"/>
    <n v="44.6"/>
    <n v="4.4000000000000004"/>
  </r>
  <r>
    <s v="134-54-4720"/>
    <x v="2"/>
    <x v="2"/>
    <x v="1"/>
    <x v="0"/>
    <x v="1"/>
    <x v="548"/>
    <x v="2"/>
    <n v="16.968"/>
    <n v="356.32799999999997"/>
    <x v="74"/>
    <x v="139"/>
    <x v="0"/>
    <n v="339.36"/>
    <n v="4.7619047620000003"/>
    <n v="16.968"/>
    <n v="5.7"/>
  </r>
  <r>
    <s v="760-90-2357"/>
    <x v="0"/>
    <x v="0"/>
    <x v="0"/>
    <x v="1"/>
    <x v="1"/>
    <x v="549"/>
    <x v="3"/>
    <n v="22.353000000000002"/>
    <n v="469.41300000000001"/>
    <x v="80"/>
    <x v="264"/>
    <x v="0"/>
    <n v="447.06"/>
    <n v="4.7619047620000003"/>
    <n v="22.353000000000002"/>
    <n v="5"/>
  </r>
  <r>
    <s v="514-37-2845"/>
    <x v="2"/>
    <x v="2"/>
    <x v="1"/>
    <x v="1"/>
    <x v="5"/>
    <x v="550"/>
    <x v="5"/>
    <n v="9.9250000000000007"/>
    <n v="208.42500000000001"/>
    <x v="80"/>
    <x v="276"/>
    <x v="1"/>
    <n v="198.5"/>
    <n v="4.7619047620000003"/>
    <n v="9.9250000000000007"/>
    <n v="9"/>
  </r>
  <r>
    <s v="698-98-5964"/>
    <x v="0"/>
    <x v="0"/>
    <x v="1"/>
    <x v="0"/>
    <x v="4"/>
    <x v="551"/>
    <x v="4"/>
    <n v="40.604999999999997"/>
    <n v="852.70500000000004"/>
    <x v="29"/>
    <x v="39"/>
    <x v="2"/>
    <n v="812.1"/>
    <n v="4.7619047620000003"/>
    <n v="40.604999999999997"/>
    <n v="6.3"/>
  </r>
  <r>
    <s v="718-57-9773"/>
    <x v="1"/>
    <x v="1"/>
    <x v="1"/>
    <x v="0"/>
    <x v="3"/>
    <x v="552"/>
    <x v="4"/>
    <n v="24.664999999999999"/>
    <n v="517.96500000000003"/>
    <x v="36"/>
    <x v="64"/>
    <x v="2"/>
    <n v="493.3"/>
    <n v="4.7619047620000003"/>
    <n v="24.664999999999999"/>
    <n v="9.4"/>
  </r>
  <r>
    <s v="651-88-7328"/>
    <x v="0"/>
    <x v="0"/>
    <x v="1"/>
    <x v="0"/>
    <x v="5"/>
    <x v="553"/>
    <x v="9"/>
    <n v="29.582999999999998"/>
    <n v="621.24300000000005"/>
    <x v="17"/>
    <x v="353"/>
    <x v="1"/>
    <n v="591.66"/>
    <n v="4.7619047620000003"/>
    <n v="29.582999999999998"/>
    <n v="7.7"/>
  </r>
  <r>
    <s v="241-11-2261"/>
    <x v="2"/>
    <x v="2"/>
    <x v="1"/>
    <x v="0"/>
    <x v="5"/>
    <x v="554"/>
    <x v="0"/>
    <n v="27.951000000000001"/>
    <n v="586.971"/>
    <x v="8"/>
    <x v="373"/>
    <x v="2"/>
    <n v="559.02"/>
    <n v="4.7619047620000003"/>
    <n v="27.951000000000001"/>
    <n v="5.5"/>
  </r>
  <r>
    <s v="408-26-9866"/>
    <x v="1"/>
    <x v="1"/>
    <x v="1"/>
    <x v="0"/>
    <x v="3"/>
    <x v="555"/>
    <x v="0"/>
    <n v="25.893000000000001"/>
    <n v="543.75300000000004"/>
    <x v="22"/>
    <x v="86"/>
    <x v="0"/>
    <n v="517.86"/>
    <n v="4.7619047620000003"/>
    <n v="25.893000000000001"/>
    <n v="4.0999999999999996"/>
  </r>
  <r>
    <s v="834-83-1826"/>
    <x v="2"/>
    <x v="2"/>
    <x v="0"/>
    <x v="0"/>
    <x v="2"/>
    <x v="556"/>
    <x v="1"/>
    <n v="20.51"/>
    <n v="430.71"/>
    <x v="6"/>
    <x v="361"/>
    <x v="2"/>
    <n v="410.2"/>
    <n v="4.7619047620000003"/>
    <n v="20.51"/>
    <n v="7.6"/>
  </r>
  <r>
    <s v="343-61-3544"/>
    <x v="2"/>
    <x v="2"/>
    <x v="0"/>
    <x v="1"/>
    <x v="3"/>
    <x v="557"/>
    <x v="4"/>
    <n v="13.335000000000001"/>
    <n v="280.03500000000003"/>
    <x v="71"/>
    <x v="340"/>
    <x v="1"/>
    <n v="266.7"/>
    <n v="4.7619047620000003"/>
    <n v="13.335000000000001"/>
    <n v="8.6"/>
  </r>
  <r>
    <s v="239-48-4278"/>
    <x v="0"/>
    <x v="0"/>
    <x v="0"/>
    <x v="1"/>
    <x v="4"/>
    <x v="558"/>
    <x v="0"/>
    <n v="3.5455000000000001"/>
    <n v="74.455500000000001"/>
    <x v="24"/>
    <x v="323"/>
    <x v="0"/>
    <n v="70.91"/>
    <n v="4.7619047620000003"/>
    <n v="3.5455000000000001"/>
    <n v="8.3000000000000007"/>
  </r>
  <r>
    <s v="355-34-6244"/>
    <x v="2"/>
    <x v="2"/>
    <x v="1"/>
    <x v="1"/>
    <x v="4"/>
    <x v="559"/>
    <x v="5"/>
    <n v="7.2389999999999999"/>
    <n v="152.01900000000001"/>
    <x v="50"/>
    <x v="374"/>
    <x v="2"/>
    <n v="144.78"/>
    <n v="4.7619047620000003"/>
    <n v="7.2389999999999999"/>
    <n v="8.1"/>
  </r>
  <r>
    <s v="550-84-8664"/>
    <x v="0"/>
    <x v="0"/>
    <x v="1"/>
    <x v="1"/>
    <x v="3"/>
    <x v="560"/>
    <x v="1"/>
    <n v="21.477499999999999"/>
    <n v="451.02749999999997"/>
    <x v="23"/>
    <x v="375"/>
    <x v="2"/>
    <n v="429.55"/>
    <n v="4.7619047620000003"/>
    <n v="21.477499999999999"/>
    <n v="8.6"/>
  </r>
  <r>
    <s v="339-96-8318"/>
    <x v="2"/>
    <x v="2"/>
    <x v="0"/>
    <x v="1"/>
    <x v="5"/>
    <x v="561"/>
    <x v="0"/>
    <n v="28.458500000000001"/>
    <n v="597.62850000000003"/>
    <x v="59"/>
    <x v="349"/>
    <x v="0"/>
    <n v="569.16999999999996"/>
    <n v="4.7619047620000003"/>
    <n v="28.458500000000001"/>
    <n v="6.3"/>
  </r>
  <r>
    <s v="458-61-0011"/>
    <x v="2"/>
    <x v="2"/>
    <x v="1"/>
    <x v="1"/>
    <x v="4"/>
    <x v="562"/>
    <x v="7"/>
    <n v="12.06"/>
    <n v="253.26"/>
    <x v="9"/>
    <x v="362"/>
    <x v="1"/>
    <n v="241.2"/>
    <n v="4.7619047620000003"/>
    <n v="12.06"/>
    <n v="5.8"/>
  </r>
  <r>
    <s v="592-34-6155"/>
    <x v="1"/>
    <x v="1"/>
    <x v="1"/>
    <x v="1"/>
    <x v="4"/>
    <x v="563"/>
    <x v="7"/>
    <n v="6.3540000000000001"/>
    <n v="133.434"/>
    <x v="78"/>
    <x v="140"/>
    <x v="0"/>
    <n v="127.08"/>
    <n v="4.7619047620000003"/>
    <n v="6.3540000000000001"/>
    <n v="6.2"/>
  </r>
  <r>
    <s v="797-88-0493"/>
    <x v="0"/>
    <x v="0"/>
    <x v="1"/>
    <x v="0"/>
    <x v="0"/>
    <x v="564"/>
    <x v="7"/>
    <n v="12.853999999999999"/>
    <n v="269.93400000000003"/>
    <x v="58"/>
    <x v="376"/>
    <x v="1"/>
    <n v="257.08"/>
    <n v="4.7619047620000003"/>
    <n v="12.853999999999999"/>
    <n v="7.7"/>
  </r>
  <r>
    <s v="207-73-1363"/>
    <x v="2"/>
    <x v="2"/>
    <x v="1"/>
    <x v="1"/>
    <x v="0"/>
    <x v="565"/>
    <x v="5"/>
    <n v="6.9509999999999996"/>
    <n v="145.971"/>
    <x v="59"/>
    <x v="377"/>
    <x v="0"/>
    <n v="139.02000000000001"/>
    <n v="4.7619047620000003"/>
    <n v="6.9509999999999996"/>
    <n v="8.1"/>
  </r>
  <r>
    <s v="390-31-6381"/>
    <x v="1"/>
    <x v="1"/>
    <x v="1"/>
    <x v="1"/>
    <x v="4"/>
    <x v="566"/>
    <x v="6"/>
    <n v="4.0830000000000002"/>
    <n v="85.742999999999995"/>
    <x v="27"/>
    <x v="378"/>
    <x v="1"/>
    <n v="81.66"/>
    <n v="4.7619047620000003"/>
    <n v="4.0830000000000002"/>
    <n v="7.3"/>
  </r>
  <r>
    <s v="443-82-0585"/>
    <x v="0"/>
    <x v="0"/>
    <x v="0"/>
    <x v="0"/>
    <x v="0"/>
    <x v="478"/>
    <x v="7"/>
    <n v="15.536"/>
    <n v="326.25599999999997"/>
    <x v="60"/>
    <x v="85"/>
    <x v="1"/>
    <n v="310.72000000000003"/>
    <n v="4.7619047620000003"/>
    <n v="15.536"/>
    <n v="8.4"/>
  </r>
  <r>
    <s v="339-18-7061"/>
    <x v="1"/>
    <x v="1"/>
    <x v="0"/>
    <x v="0"/>
    <x v="5"/>
    <x v="567"/>
    <x v="5"/>
    <n v="9.298"/>
    <n v="195.25800000000001"/>
    <x v="77"/>
    <x v="379"/>
    <x v="2"/>
    <n v="185.96"/>
    <n v="4.7619047620000003"/>
    <n v="9.298"/>
    <n v="8"/>
  </r>
  <r>
    <s v="359-90-3665"/>
    <x v="2"/>
    <x v="2"/>
    <x v="0"/>
    <x v="0"/>
    <x v="5"/>
    <x v="183"/>
    <x v="7"/>
    <n v="3.6160000000000001"/>
    <n v="75.936000000000007"/>
    <x v="78"/>
    <x v="172"/>
    <x v="2"/>
    <n v="72.319999999999993"/>
    <n v="4.7619047620000003"/>
    <n v="3.6160000000000001"/>
    <n v="9.5"/>
  </r>
  <r>
    <s v="375-72-3056"/>
    <x v="2"/>
    <x v="2"/>
    <x v="1"/>
    <x v="1"/>
    <x v="3"/>
    <x v="568"/>
    <x v="6"/>
    <n v="9.4589999999999996"/>
    <n v="198.63900000000001"/>
    <x v="64"/>
    <x v="380"/>
    <x v="0"/>
    <n v="189.18"/>
    <n v="4.7619047620000003"/>
    <n v="9.4589999999999996"/>
    <n v="7"/>
  </r>
  <r>
    <s v="127-47-6963"/>
    <x v="0"/>
    <x v="0"/>
    <x v="1"/>
    <x v="1"/>
    <x v="0"/>
    <x v="569"/>
    <x v="7"/>
    <n v="10.342000000000001"/>
    <n v="217.18199999999999"/>
    <x v="11"/>
    <x v="318"/>
    <x v="2"/>
    <n v="206.84"/>
    <n v="4.7619047620000003"/>
    <n v="10.342000000000001"/>
    <n v="9.8000000000000007"/>
  </r>
  <r>
    <s v="278-86-2735"/>
    <x v="0"/>
    <x v="0"/>
    <x v="1"/>
    <x v="0"/>
    <x v="4"/>
    <x v="570"/>
    <x v="6"/>
    <n v="7.851"/>
    <n v="164.87100000000001"/>
    <x v="39"/>
    <x v="381"/>
    <x v="1"/>
    <n v="157.02000000000001"/>
    <n v="4.7619047620000003"/>
    <n v="7.851"/>
    <n v="9.1999999999999993"/>
  </r>
  <r>
    <s v="695-28-6250"/>
    <x v="0"/>
    <x v="0"/>
    <x v="1"/>
    <x v="0"/>
    <x v="3"/>
    <x v="571"/>
    <x v="1"/>
    <n v="10.765000000000001"/>
    <n v="226.065"/>
    <x v="87"/>
    <x v="382"/>
    <x v="0"/>
    <n v="215.3"/>
    <n v="4.7619047620000003"/>
    <n v="10.765000000000001"/>
    <n v="7.7"/>
  </r>
  <r>
    <s v="379-17-6588"/>
    <x v="1"/>
    <x v="1"/>
    <x v="1"/>
    <x v="1"/>
    <x v="5"/>
    <x v="572"/>
    <x v="4"/>
    <n v="29.805"/>
    <n v="625.90499999999997"/>
    <x v="86"/>
    <x v="383"/>
    <x v="1"/>
    <n v="596.1"/>
    <n v="4.7619047620000003"/>
    <n v="29.805"/>
    <n v="5.3"/>
  </r>
  <r>
    <s v="227-50-3718"/>
    <x v="0"/>
    <x v="0"/>
    <x v="1"/>
    <x v="1"/>
    <x v="0"/>
    <x v="573"/>
    <x v="1"/>
    <n v="3.6549999999999998"/>
    <n v="76.754999999999995"/>
    <x v="31"/>
    <x v="384"/>
    <x v="1"/>
    <n v="73.099999999999994"/>
    <n v="4.7619047620000003"/>
    <n v="3.6549999999999998"/>
    <n v="4.4000000000000004"/>
  </r>
  <r>
    <s v="302-15-2162"/>
    <x v="1"/>
    <x v="1"/>
    <x v="0"/>
    <x v="1"/>
    <x v="0"/>
    <x v="574"/>
    <x v="3"/>
    <n v="13.959"/>
    <n v="293.13900000000001"/>
    <x v="2"/>
    <x v="200"/>
    <x v="2"/>
    <n v="279.18"/>
    <n v="4.7619047620000003"/>
    <n v="13.959"/>
    <n v="4.3"/>
  </r>
  <r>
    <s v="788-07-8452"/>
    <x v="1"/>
    <x v="1"/>
    <x v="0"/>
    <x v="0"/>
    <x v="2"/>
    <x v="575"/>
    <x v="0"/>
    <n v="8.484"/>
    <n v="178.16399999999999"/>
    <x v="3"/>
    <x v="180"/>
    <x v="0"/>
    <n v="169.68"/>
    <n v="4.7619047620000003"/>
    <n v="8.484"/>
    <n v="9.4"/>
  </r>
  <r>
    <s v="560-49-6611"/>
    <x v="0"/>
    <x v="0"/>
    <x v="0"/>
    <x v="0"/>
    <x v="3"/>
    <x v="576"/>
    <x v="8"/>
    <n v="2.2789999999999999"/>
    <n v="47.859000000000002"/>
    <x v="13"/>
    <x v="385"/>
    <x v="1"/>
    <n v="45.58"/>
    <n v="4.7619047620000003"/>
    <n v="2.2789999999999999"/>
    <n v="9.8000000000000007"/>
  </r>
  <r>
    <s v="880-35-0356"/>
    <x v="0"/>
    <x v="0"/>
    <x v="0"/>
    <x v="0"/>
    <x v="3"/>
    <x v="577"/>
    <x v="6"/>
    <n v="11.28"/>
    <n v="236.88"/>
    <x v="63"/>
    <x v="159"/>
    <x v="0"/>
    <n v="225.6"/>
    <n v="4.7619047620000003"/>
    <n v="11.28"/>
    <n v="4.8"/>
  </r>
  <r>
    <s v="585-11-6748"/>
    <x v="2"/>
    <x v="2"/>
    <x v="0"/>
    <x v="1"/>
    <x v="3"/>
    <x v="578"/>
    <x v="6"/>
    <n v="14.52"/>
    <n v="304.92"/>
    <x v="20"/>
    <x v="137"/>
    <x v="1"/>
    <n v="290.39999999999998"/>
    <n v="4.7619047620000003"/>
    <n v="14.52"/>
    <n v="5.3"/>
  </r>
  <r>
    <s v="470-31-3286"/>
    <x v="2"/>
    <x v="2"/>
    <x v="1"/>
    <x v="1"/>
    <x v="0"/>
    <x v="579"/>
    <x v="6"/>
    <n v="2.2229999999999999"/>
    <n v="46.683"/>
    <x v="59"/>
    <x v="170"/>
    <x v="2"/>
    <n v="44.46"/>
    <n v="4.7619047620000003"/>
    <n v="2.2229999999999999"/>
    <n v="8.6999999999999993"/>
  </r>
  <r>
    <s v="152-68-2907"/>
    <x v="0"/>
    <x v="0"/>
    <x v="1"/>
    <x v="1"/>
    <x v="4"/>
    <x v="580"/>
    <x v="6"/>
    <n v="7.83"/>
    <n v="164.43"/>
    <x v="42"/>
    <x v="241"/>
    <x v="2"/>
    <n v="156.6"/>
    <n v="4.7619047620000003"/>
    <n v="7.83"/>
    <n v="9.5"/>
  </r>
  <r>
    <s v="123-35-4896"/>
    <x v="1"/>
    <x v="1"/>
    <x v="1"/>
    <x v="0"/>
    <x v="3"/>
    <x v="581"/>
    <x v="9"/>
    <n v="20.997"/>
    <n v="440.93700000000001"/>
    <x v="21"/>
    <x v="386"/>
    <x v="0"/>
    <n v="419.94"/>
    <n v="4.7619047620000003"/>
    <n v="20.997"/>
    <n v="5.3"/>
  </r>
  <r>
    <s v="258-69-7810"/>
    <x v="1"/>
    <x v="1"/>
    <x v="1"/>
    <x v="0"/>
    <x v="5"/>
    <x v="582"/>
    <x v="1"/>
    <n v="9.2125000000000004"/>
    <n v="193.46250000000001"/>
    <x v="53"/>
    <x v="387"/>
    <x v="1"/>
    <n v="184.25"/>
    <n v="4.7619047620000003"/>
    <n v="9.2125000000000004"/>
    <n v="9.1999999999999993"/>
  </r>
  <r>
    <s v="334-64-2006"/>
    <x v="0"/>
    <x v="0"/>
    <x v="0"/>
    <x v="0"/>
    <x v="2"/>
    <x v="583"/>
    <x v="5"/>
    <n v="7.032"/>
    <n v="147.672"/>
    <x v="62"/>
    <x v="388"/>
    <x v="0"/>
    <n v="140.63999999999999"/>
    <n v="4.7619047620000003"/>
    <n v="7.032"/>
    <n v="9.6"/>
  </r>
  <r>
    <s v="219-61-4139"/>
    <x v="1"/>
    <x v="1"/>
    <x v="1"/>
    <x v="1"/>
    <x v="1"/>
    <x v="584"/>
    <x v="8"/>
    <n v="4.1539999999999999"/>
    <n v="87.233999999999995"/>
    <x v="54"/>
    <x v="361"/>
    <x v="0"/>
    <n v="83.08"/>
    <n v="4.7619047620000003"/>
    <n v="4.1539999999999999"/>
    <n v="6.4"/>
  </r>
  <r>
    <s v="881-41-7302"/>
    <x v="1"/>
    <x v="1"/>
    <x v="1"/>
    <x v="0"/>
    <x v="5"/>
    <x v="585"/>
    <x v="8"/>
    <n v="3.2494999999999998"/>
    <n v="68.239500000000007"/>
    <x v="53"/>
    <x v="389"/>
    <x v="2"/>
    <n v="64.989999999999995"/>
    <n v="4.7619047620000003"/>
    <n v="3.2494999999999998"/>
    <n v="4.5"/>
  </r>
  <r>
    <s v="373-09-4567"/>
    <x v="1"/>
    <x v="1"/>
    <x v="1"/>
    <x v="1"/>
    <x v="4"/>
    <x v="586"/>
    <x v="4"/>
    <n v="38.78"/>
    <n v="814.38"/>
    <x v="86"/>
    <x v="82"/>
    <x v="0"/>
    <n v="775.6"/>
    <n v="4.7619047620000003"/>
    <n v="38.78"/>
    <n v="6.9"/>
  </r>
  <r>
    <s v="642-30-6693"/>
    <x v="2"/>
    <x v="2"/>
    <x v="1"/>
    <x v="0"/>
    <x v="3"/>
    <x v="587"/>
    <x v="3"/>
    <n v="16.353000000000002"/>
    <n v="343.41300000000001"/>
    <x v="85"/>
    <x v="376"/>
    <x v="0"/>
    <n v="327.06"/>
    <n v="4.7619047620000003"/>
    <n v="16.353000000000002"/>
    <n v="7.8"/>
  </r>
  <r>
    <s v="484-22-8230"/>
    <x v="1"/>
    <x v="1"/>
    <x v="0"/>
    <x v="0"/>
    <x v="5"/>
    <x v="588"/>
    <x v="0"/>
    <n v="18.1615"/>
    <n v="381.39150000000001"/>
    <x v="66"/>
    <x v="390"/>
    <x v="1"/>
    <n v="363.23"/>
    <n v="4.7619047620000003"/>
    <n v="18.1615"/>
    <n v="4.5"/>
  </r>
  <r>
    <s v="830-58-2383"/>
    <x v="2"/>
    <x v="2"/>
    <x v="1"/>
    <x v="1"/>
    <x v="2"/>
    <x v="589"/>
    <x v="7"/>
    <n v="6.35"/>
    <n v="133.35"/>
    <x v="4"/>
    <x v="108"/>
    <x v="1"/>
    <n v="127"/>
    <n v="4.7619047620000003"/>
    <n v="6.35"/>
    <n v="8.6"/>
  </r>
  <r>
    <s v="559-98-9873"/>
    <x v="0"/>
    <x v="0"/>
    <x v="0"/>
    <x v="0"/>
    <x v="5"/>
    <x v="590"/>
    <x v="0"/>
    <n v="18.7775"/>
    <n v="394.32749999999999"/>
    <x v="34"/>
    <x v="391"/>
    <x v="0"/>
    <n v="375.55"/>
    <n v="4.7619047620000003"/>
    <n v="18.7775"/>
    <n v="5.2"/>
  </r>
  <r>
    <s v="544-32-5024"/>
    <x v="1"/>
    <x v="1"/>
    <x v="0"/>
    <x v="0"/>
    <x v="4"/>
    <x v="591"/>
    <x v="7"/>
    <n v="9.9580000000000002"/>
    <n v="209.11799999999999"/>
    <x v="61"/>
    <x v="156"/>
    <x v="2"/>
    <n v="199.16"/>
    <n v="4.7619047620000003"/>
    <n v="9.9580000000000002"/>
    <n v="6.4"/>
  </r>
  <r>
    <s v="318-12-0304"/>
    <x v="0"/>
    <x v="0"/>
    <x v="1"/>
    <x v="1"/>
    <x v="5"/>
    <x v="59"/>
    <x v="8"/>
    <n v="1.5305"/>
    <n v="32.140500000000003"/>
    <x v="54"/>
    <x v="22"/>
    <x v="0"/>
    <n v="30.61"/>
    <n v="4.7619047620000003"/>
    <n v="1.5305"/>
    <n v="5.2"/>
  </r>
  <r>
    <s v="349-97-8902"/>
    <x v="2"/>
    <x v="2"/>
    <x v="0"/>
    <x v="1"/>
    <x v="4"/>
    <x v="592"/>
    <x v="5"/>
    <n v="5.7889999999999997"/>
    <n v="121.569"/>
    <x v="29"/>
    <x v="4"/>
    <x v="0"/>
    <n v="115.78"/>
    <n v="4.7619047620000003"/>
    <n v="5.7889999999999997"/>
    <n v="8.9"/>
  </r>
  <r>
    <s v="421-95-9805"/>
    <x v="0"/>
    <x v="0"/>
    <x v="1"/>
    <x v="0"/>
    <x v="1"/>
    <x v="593"/>
    <x v="8"/>
    <n v="1.448"/>
    <n v="30.408000000000001"/>
    <x v="13"/>
    <x v="392"/>
    <x v="2"/>
    <n v="28.96"/>
    <n v="4.7619047620000003"/>
    <n v="1.448"/>
    <n v="6.2"/>
  </r>
  <r>
    <s v="277-35-5865"/>
    <x v="1"/>
    <x v="1"/>
    <x v="0"/>
    <x v="0"/>
    <x v="4"/>
    <x v="594"/>
    <x v="9"/>
    <n v="44.536499999999997"/>
    <n v="935.26649999999995"/>
    <x v="11"/>
    <x v="219"/>
    <x v="1"/>
    <n v="890.73"/>
    <n v="4.7619047620000003"/>
    <n v="44.536499999999997"/>
    <n v="6.7"/>
  </r>
  <r>
    <s v="789-23-8625"/>
    <x v="2"/>
    <x v="2"/>
    <x v="0"/>
    <x v="1"/>
    <x v="5"/>
    <x v="595"/>
    <x v="6"/>
    <n v="13.983000000000001"/>
    <n v="293.64299999999997"/>
    <x v="46"/>
    <x v="393"/>
    <x v="1"/>
    <n v="279.66000000000003"/>
    <n v="4.7619047620000003"/>
    <n v="13.983000000000001"/>
    <n v="7.2"/>
  </r>
  <r>
    <s v="284-54-4231"/>
    <x v="1"/>
    <x v="1"/>
    <x v="0"/>
    <x v="1"/>
    <x v="3"/>
    <x v="596"/>
    <x v="8"/>
    <n v="4.0465"/>
    <n v="84.976500000000001"/>
    <x v="64"/>
    <x v="394"/>
    <x v="2"/>
    <n v="80.930000000000007"/>
    <n v="4.7619047620000003"/>
    <n v="4.0465"/>
    <n v="9"/>
  </r>
  <r>
    <s v="443-59-0061"/>
    <x v="0"/>
    <x v="0"/>
    <x v="0"/>
    <x v="1"/>
    <x v="4"/>
    <x v="597"/>
    <x v="4"/>
    <n v="33.725000000000001"/>
    <n v="708.22500000000002"/>
    <x v="36"/>
    <x v="210"/>
    <x v="0"/>
    <n v="674.5"/>
    <n v="4.7619047620000003"/>
    <n v="33.725000000000001"/>
    <n v="4.2"/>
  </r>
  <r>
    <s v="509-29-3912"/>
    <x v="0"/>
    <x v="0"/>
    <x v="0"/>
    <x v="0"/>
    <x v="3"/>
    <x v="598"/>
    <x v="9"/>
    <n v="17.423999999999999"/>
    <n v="365.904"/>
    <x v="80"/>
    <x v="395"/>
    <x v="0"/>
    <n v="348.48"/>
    <n v="4.7619047620000003"/>
    <n v="17.423999999999999"/>
    <n v="4.2"/>
  </r>
  <r>
    <s v="327-40-9673"/>
    <x v="2"/>
    <x v="2"/>
    <x v="0"/>
    <x v="1"/>
    <x v="3"/>
    <x v="599"/>
    <x v="3"/>
    <n v="21.78"/>
    <n v="457.38"/>
    <x v="50"/>
    <x v="396"/>
    <x v="1"/>
    <n v="435.6"/>
    <n v="4.7619047620000003"/>
    <n v="21.78"/>
    <n v="6.9"/>
  </r>
  <r>
    <s v="840-19-2096"/>
    <x v="1"/>
    <x v="1"/>
    <x v="0"/>
    <x v="1"/>
    <x v="1"/>
    <x v="600"/>
    <x v="1"/>
    <n v="21.977499999999999"/>
    <n v="461.52749999999997"/>
    <x v="86"/>
    <x v="397"/>
    <x v="0"/>
    <n v="439.55"/>
    <n v="4.7619047620000003"/>
    <n v="21.977499999999999"/>
    <n v="4.4000000000000004"/>
  </r>
  <r>
    <s v="828-46-6863"/>
    <x v="0"/>
    <x v="0"/>
    <x v="0"/>
    <x v="1"/>
    <x v="4"/>
    <x v="601"/>
    <x v="3"/>
    <n v="29.559000000000001"/>
    <n v="620.73900000000003"/>
    <x v="54"/>
    <x v="218"/>
    <x v="2"/>
    <n v="591.17999999999995"/>
    <n v="4.7619047620000003"/>
    <n v="29.559000000000001"/>
    <n v="4"/>
  </r>
  <r>
    <s v="641-96-3695"/>
    <x v="1"/>
    <x v="1"/>
    <x v="0"/>
    <x v="0"/>
    <x v="5"/>
    <x v="602"/>
    <x v="3"/>
    <n v="13.038"/>
    <n v="273.798"/>
    <x v="13"/>
    <x v="84"/>
    <x v="0"/>
    <n v="260.76"/>
    <n v="4.7619047620000003"/>
    <n v="13.038"/>
    <n v="8.5"/>
  </r>
  <r>
    <s v="420-97-3340"/>
    <x v="0"/>
    <x v="0"/>
    <x v="1"/>
    <x v="0"/>
    <x v="4"/>
    <x v="603"/>
    <x v="6"/>
    <n v="10.752000000000001"/>
    <n v="225.792"/>
    <x v="61"/>
    <x v="19"/>
    <x v="2"/>
    <n v="215.04"/>
    <n v="4.7619047620000003"/>
    <n v="10.752000000000001"/>
    <n v="9.1999999999999993"/>
  </r>
  <r>
    <s v="436-54-4512"/>
    <x v="0"/>
    <x v="0"/>
    <x v="0"/>
    <x v="0"/>
    <x v="4"/>
    <x v="604"/>
    <x v="8"/>
    <n v="4.5804999999999998"/>
    <n v="96.1905"/>
    <x v="80"/>
    <x v="143"/>
    <x v="1"/>
    <n v="91.61"/>
    <n v="4.7619047620000003"/>
    <n v="4.5804999999999998"/>
    <n v="9.8000000000000007"/>
  </r>
  <r>
    <s v="670-79-6321"/>
    <x v="2"/>
    <x v="2"/>
    <x v="0"/>
    <x v="0"/>
    <x v="2"/>
    <x v="605"/>
    <x v="0"/>
    <n v="33.106499999999997"/>
    <n v="695.23649999999998"/>
    <x v="29"/>
    <x v="398"/>
    <x v="2"/>
    <n v="662.13"/>
    <n v="4.7619047620000003"/>
    <n v="33.106499999999997"/>
    <n v="4.9000000000000004"/>
  </r>
  <r>
    <s v="852-62-7105"/>
    <x v="2"/>
    <x v="2"/>
    <x v="1"/>
    <x v="0"/>
    <x v="5"/>
    <x v="606"/>
    <x v="4"/>
    <n v="41.625"/>
    <n v="874.125"/>
    <x v="52"/>
    <x v="210"/>
    <x v="2"/>
    <n v="832.5"/>
    <n v="4.7619047620000003"/>
    <n v="41.625"/>
    <n v="4.4000000000000004"/>
  </r>
  <r>
    <s v="598-06-7312"/>
    <x v="2"/>
    <x v="2"/>
    <x v="0"/>
    <x v="1"/>
    <x v="5"/>
    <x v="607"/>
    <x v="8"/>
    <n v="4.5674999999999999"/>
    <n v="95.917500000000004"/>
    <x v="69"/>
    <x v="324"/>
    <x v="1"/>
    <n v="91.35"/>
    <n v="4.7619047620000003"/>
    <n v="4.5674999999999999"/>
    <n v="6.8"/>
  </r>
  <r>
    <s v="135-13-8269"/>
    <x v="2"/>
    <x v="2"/>
    <x v="0"/>
    <x v="0"/>
    <x v="4"/>
    <x v="608"/>
    <x v="5"/>
    <n v="7.8879999999999999"/>
    <n v="165.648"/>
    <x v="53"/>
    <x v="399"/>
    <x v="1"/>
    <n v="157.76"/>
    <n v="4.7619047620000003"/>
    <n v="7.8879999999999999"/>
    <n v="9.1"/>
  </r>
  <r>
    <s v="816-57-2053"/>
    <x v="0"/>
    <x v="0"/>
    <x v="1"/>
    <x v="1"/>
    <x v="3"/>
    <x v="609"/>
    <x v="5"/>
    <n v="6.0869999999999997"/>
    <n v="127.827"/>
    <x v="11"/>
    <x v="378"/>
    <x v="0"/>
    <n v="121.74"/>
    <n v="4.7619047620000003"/>
    <n v="6.0869999999999997"/>
    <n v="8.6999999999999993"/>
  </r>
  <r>
    <s v="628-90-8624"/>
    <x v="2"/>
    <x v="2"/>
    <x v="0"/>
    <x v="1"/>
    <x v="0"/>
    <x v="610"/>
    <x v="4"/>
    <n v="41.29"/>
    <n v="867.09"/>
    <x v="86"/>
    <x v="400"/>
    <x v="1"/>
    <n v="825.8"/>
    <n v="4.7619047620000003"/>
    <n v="41.29"/>
    <n v="5"/>
  </r>
  <r>
    <s v="856-66-2701"/>
    <x v="0"/>
    <x v="0"/>
    <x v="0"/>
    <x v="1"/>
    <x v="2"/>
    <x v="611"/>
    <x v="6"/>
    <n v="7.9950000000000001"/>
    <n v="167.89500000000001"/>
    <x v="25"/>
    <x v="401"/>
    <x v="0"/>
    <n v="159.9"/>
    <n v="4.7619047620000003"/>
    <n v="7.9950000000000001"/>
    <n v="7.5"/>
  </r>
  <r>
    <s v="308-39-1707"/>
    <x v="0"/>
    <x v="0"/>
    <x v="1"/>
    <x v="0"/>
    <x v="5"/>
    <x v="612"/>
    <x v="8"/>
    <n v="0.60450000000000004"/>
    <n v="12.6945"/>
    <x v="53"/>
    <x v="96"/>
    <x v="2"/>
    <n v="12.09"/>
    <n v="4.7619047620000003"/>
    <n v="0.60450000000000004"/>
    <n v="8.1999999999999993"/>
  </r>
  <r>
    <s v="149-61-1929"/>
    <x v="0"/>
    <x v="0"/>
    <x v="1"/>
    <x v="1"/>
    <x v="3"/>
    <x v="613"/>
    <x v="4"/>
    <n v="32.094999999999999"/>
    <n v="673.995"/>
    <x v="64"/>
    <x v="402"/>
    <x v="2"/>
    <n v="641.9"/>
    <n v="4.7619047620000003"/>
    <n v="32.094999999999999"/>
    <n v="6.7"/>
  </r>
  <r>
    <s v="655-07-2265"/>
    <x v="0"/>
    <x v="0"/>
    <x v="1"/>
    <x v="1"/>
    <x v="1"/>
    <x v="77"/>
    <x v="6"/>
    <n v="11.746499999999999"/>
    <n v="246.6765"/>
    <x v="19"/>
    <x v="382"/>
    <x v="0"/>
    <n v="234.93"/>
    <n v="4.7619047620000003"/>
    <n v="11.746499999999999"/>
    <n v="5.4"/>
  </r>
  <r>
    <s v="589-02-8023"/>
    <x v="0"/>
    <x v="0"/>
    <x v="0"/>
    <x v="1"/>
    <x v="4"/>
    <x v="461"/>
    <x v="5"/>
    <n v="8.3770000000000007"/>
    <n v="175.917"/>
    <x v="15"/>
    <x v="200"/>
    <x v="2"/>
    <n v="167.54"/>
    <n v="4.7619047620000003"/>
    <n v="8.3770000000000007"/>
    <n v="7"/>
  </r>
  <r>
    <s v="420-04-7590"/>
    <x v="2"/>
    <x v="2"/>
    <x v="1"/>
    <x v="1"/>
    <x v="2"/>
    <x v="614"/>
    <x v="6"/>
    <n v="14.955"/>
    <n v="314.05500000000001"/>
    <x v="79"/>
    <x v="403"/>
    <x v="0"/>
    <n v="299.10000000000002"/>
    <n v="4.7619047620000003"/>
    <n v="14.955"/>
    <n v="4.7"/>
  </r>
  <r>
    <s v="182-88-2763"/>
    <x v="2"/>
    <x v="2"/>
    <x v="0"/>
    <x v="1"/>
    <x v="4"/>
    <x v="615"/>
    <x v="6"/>
    <n v="11.986499999999999"/>
    <n v="251.7165"/>
    <x v="80"/>
    <x v="198"/>
    <x v="2"/>
    <n v="239.73"/>
    <n v="4.7619047620000003"/>
    <n v="11.986499999999999"/>
    <n v="5"/>
  </r>
  <r>
    <s v="188-55-0967"/>
    <x v="2"/>
    <x v="2"/>
    <x v="0"/>
    <x v="1"/>
    <x v="0"/>
    <x v="616"/>
    <x v="4"/>
    <n v="33.234999999999999"/>
    <n v="697.93499999999995"/>
    <x v="15"/>
    <x v="66"/>
    <x v="2"/>
    <n v="664.7"/>
    <n v="4.7619047620000003"/>
    <n v="33.234999999999999"/>
    <n v="5"/>
  </r>
  <r>
    <s v="610-46-4100"/>
    <x v="0"/>
    <x v="0"/>
    <x v="1"/>
    <x v="1"/>
    <x v="0"/>
    <x v="617"/>
    <x v="0"/>
    <n v="10.1325"/>
    <n v="212.7825"/>
    <x v="2"/>
    <x v="106"/>
    <x v="2"/>
    <n v="202.65"/>
    <n v="4.7619047620000003"/>
    <n v="10.1325"/>
    <n v="6"/>
  </r>
  <r>
    <s v="318-81-2368"/>
    <x v="1"/>
    <x v="1"/>
    <x v="1"/>
    <x v="0"/>
    <x v="1"/>
    <x v="618"/>
    <x v="8"/>
    <n v="2.31"/>
    <n v="48.51"/>
    <x v="35"/>
    <x v="404"/>
    <x v="1"/>
    <n v="46.2"/>
    <n v="4.7619047620000003"/>
    <n v="2.31"/>
    <n v="6.3"/>
  </r>
  <r>
    <s v="364-33-8584"/>
    <x v="2"/>
    <x v="2"/>
    <x v="0"/>
    <x v="0"/>
    <x v="4"/>
    <x v="619"/>
    <x v="1"/>
    <n v="4.4074999999999998"/>
    <n v="92.557500000000005"/>
    <x v="1"/>
    <x v="398"/>
    <x v="1"/>
    <n v="88.15"/>
    <n v="4.7619047620000003"/>
    <n v="4.4074999999999998"/>
    <n v="8.5"/>
  </r>
  <r>
    <s v="665-63-9737"/>
    <x v="2"/>
    <x v="2"/>
    <x v="1"/>
    <x v="1"/>
    <x v="5"/>
    <x v="620"/>
    <x v="6"/>
    <n v="7.8630000000000004"/>
    <n v="165.12299999999999"/>
    <x v="33"/>
    <x v="24"/>
    <x v="0"/>
    <n v="157.26"/>
    <n v="4.7619047620000003"/>
    <n v="7.8630000000000004"/>
    <n v="7.5"/>
  </r>
  <r>
    <s v="695-09-5146"/>
    <x v="2"/>
    <x v="2"/>
    <x v="0"/>
    <x v="0"/>
    <x v="4"/>
    <x v="621"/>
    <x v="6"/>
    <n v="14.8185"/>
    <n v="311.18849999999998"/>
    <x v="55"/>
    <x v="405"/>
    <x v="0"/>
    <n v="296.37"/>
    <n v="4.7619047620000003"/>
    <n v="14.8185"/>
    <n v="6.4"/>
  </r>
  <r>
    <s v="155-45-3814"/>
    <x v="1"/>
    <x v="1"/>
    <x v="0"/>
    <x v="0"/>
    <x v="1"/>
    <x v="622"/>
    <x v="2"/>
    <n v="35.42"/>
    <n v="743.82"/>
    <x v="35"/>
    <x v="406"/>
    <x v="0"/>
    <n v="708.4"/>
    <n v="4.7619047620000003"/>
    <n v="35.42"/>
    <n v="4.7"/>
  </r>
  <r>
    <s v="794-32-2436"/>
    <x v="2"/>
    <x v="2"/>
    <x v="0"/>
    <x v="1"/>
    <x v="1"/>
    <x v="623"/>
    <x v="5"/>
    <n v="5.5670000000000002"/>
    <n v="116.907"/>
    <x v="39"/>
    <x v="264"/>
    <x v="0"/>
    <n v="111.34"/>
    <n v="4.7619047620000003"/>
    <n v="5.5670000000000002"/>
    <n v="6"/>
  </r>
  <r>
    <s v="131-15-8856"/>
    <x v="1"/>
    <x v="1"/>
    <x v="0"/>
    <x v="0"/>
    <x v="4"/>
    <x v="624"/>
    <x v="2"/>
    <n v="29.007999999999999"/>
    <n v="609.16800000000001"/>
    <x v="73"/>
    <x v="206"/>
    <x v="2"/>
    <n v="580.16"/>
    <n v="4.7619047620000003"/>
    <n v="29.007999999999999"/>
    <n v="4"/>
  </r>
  <r>
    <s v="273-84-2164"/>
    <x v="1"/>
    <x v="1"/>
    <x v="0"/>
    <x v="1"/>
    <x v="1"/>
    <x v="625"/>
    <x v="1"/>
    <n v="3.0125000000000002"/>
    <n v="63.262500000000003"/>
    <x v="69"/>
    <x v="183"/>
    <x v="0"/>
    <n v="60.25"/>
    <n v="4.7619047620000003"/>
    <n v="3.0125000000000002"/>
    <n v="5.5"/>
  </r>
  <r>
    <s v="706-36-6154"/>
    <x v="0"/>
    <x v="0"/>
    <x v="0"/>
    <x v="1"/>
    <x v="2"/>
    <x v="626"/>
    <x v="9"/>
    <n v="8.7119999999999997"/>
    <n v="182.952"/>
    <x v="68"/>
    <x v="362"/>
    <x v="0"/>
    <n v="174.24"/>
    <n v="4.7619047620000003"/>
    <n v="8.7119999999999997"/>
    <n v="8.6999999999999993"/>
  </r>
  <r>
    <s v="778-89-7974"/>
    <x v="1"/>
    <x v="1"/>
    <x v="1"/>
    <x v="1"/>
    <x v="0"/>
    <x v="627"/>
    <x v="3"/>
    <n v="21.062999999999999"/>
    <n v="442.32299999999998"/>
    <x v="73"/>
    <x v="407"/>
    <x v="1"/>
    <n v="421.26"/>
    <n v="4.7619047620000003"/>
    <n v="21.062999999999999"/>
    <n v="7.4"/>
  </r>
  <r>
    <s v="574-31-8277"/>
    <x v="2"/>
    <x v="2"/>
    <x v="0"/>
    <x v="1"/>
    <x v="5"/>
    <x v="628"/>
    <x v="8"/>
    <n v="1.6815"/>
    <n v="35.311500000000002"/>
    <x v="80"/>
    <x v="374"/>
    <x v="1"/>
    <n v="33.630000000000003"/>
    <n v="4.7619047620000003"/>
    <n v="1.6815"/>
    <n v="5.6"/>
  </r>
  <r>
    <s v="859-71-0933"/>
    <x v="1"/>
    <x v="1"/>
    <x v="0"/>
    <x v="0"/>
    <x v="3"/>
    <x v="629"/>
    <x v="5"/>
    <n v="1.5489999999999999"/>
    <n v="32.529000000000003"/>
    <x v="65"/>
    <x v="50"/>
    <x v="1"/>
    <n v="30.98"/>
    <n v="4.7619047620000003"/>
    <n v="1.5489999999999999"/>
    <n v="6.3"/>
  </r>
  <r>
    <s v="740-11-5257"/>
    <x v="1"/>
    <x v="1"/>
    <x v="1"/>
    <x v="1"/>
    <x v="1"/>
    <x v="60"/>
    <x v="4"/>
    <n v="12.37"/>
    <n v="259.77"/>
    <x v="7"/>
    <x v="95"/>
    <x v="1"/>
    <n v="247.4"/>
    <n v="4.7619047620000003"/>
    <n v="12.37"/>
    <n v="7.1"/>
  </r>
  <r>
    <s v="369-82-2676"/>
    <x v="2"/>
    <x v="2"/>
    <x v="1"/>
    <x v="1"/>
    <x v="1"/>
    <x v="630"/>
    <x v="1"/>
    <n v="18.914999999999999"/>
    <n v="397.21499999999997"/>
    <x v="15"/>
    <x v="282"/>
    <x v="0"/>
    <n v="378.3"/>
    <n v="4.7619047620000003"/>
    <n v="18.914999999999999"/>
    <n v="7.8"/>
  </r>
  <r>
    <s v="563-47-4072"/>
    <x v="2"/>
    <x v="2"/>
    <x v="1"/>
    <x v="0"/>
    <x v="0"/>
    <x v="631"/>
    <x v="3"/>
    <n v="16.742999999999999"/>
    <n v="351.60300000000001"/>
    <x v="49"/>
    <x v="408"/>
    <x v="1"/>
    <n v="334.86"/>
    <n v="4.7619047620000003"/>
    <n v="16.742999999999999"/>
    <n v="9.9"/>
  </r>
  <r>
    <s v="742-04-5161"/>
    <x v="0"/>
    <x v="0"/>
    <x v="0"/>
    <x v="1"/>
    <x v="2"/>
    <x v="632"/>
    <x v="4"/>
    <n v="36.39"/>
    <n v="764.19"/>
    <x v="36"/>
    <x v="45"/>
    <x v="1"/>
    <n v="727.8"/>
    <n v="4.7619047620000003"/>
    <n v="36.39"/>
    <n v="7.3"/>
  </r>
  <r>
    <s v="149-15-7606"/>
    <x v="2"/>
    <x v="2"/>
    <x v="0"/>
    <x v="1"/>
    <x v="3"/>
    <x v="633"/>
    <x v="9"/>
    <n v="16.794"/>
    <n v="352.67399999999998"/>
    <x v="43"/>
    <x v="26"/>
    <x v="0"/>
    <n v="335.88"/>
    <n v="4.7619047620000003"/>
    <n v="16.794"/>
    <n v="5.0999999999999996"/>
  </r>
  <r>
    <s v="133-77-3154"/>
    <x v="2"/>
    <x v="2"/>
    <x v="0"/>
    <x v="1"/>
    <x v="5"/>
    <x v="634"/>
    <x v="7"/>
    <n v="12.036"/>
    <n v="252.756"/>
    <x v="69"/>
    <x v="358"/>
    <x v="2"/>
    <n v="240.72"/>
    <n v="4.7619047620000003"/>
    <n v="12.036"/>
    <n v="9.4"/>
  </r>
  <r>
    <s v="169-52-4504"/>
    <x v="0"/>
    <x v="0"/>
    <x v="1"/>
    <x v="0"/>
    <x v="1"/>
    <x v="635"/>
    <x v="6"/>
    <n v="2.3534999999999999"/>
    <n v="49.423499999999997"/>
    <x v="86"/>
    <x v="385"/>
    <x v="2"/>
    <n v="47.07"/>
    <n v="4.7619047620000003"/>
    <n v="2.3534999999999999"/>
    <n v="5.8"/>
  </r>
  <r>
    <s v="250-81-7186"/>
    <x v="1"/>
    <x v="1"/>
    <x v="1"/>
    <x v="0"/>
    <x v="1"/>
    <x v="374"/>
    <x v="8"/>
    <n v="4.9844999999999997"/>
    <n v="104.67449999999999"/>
    <x v="33"/>
    <x v="81"/>
    <x v="2"/>
    <n v="99.69"/>
    <n v="4.7619047620000003"/>
    <n v="4.9844999999999997"/>
    <n v="8"/>
  </r>
  <r>
    <s v="562-12-5430"/>
    <x v="0"/>
    <x v="0"/>
    <x v="0"/>
    <x v="0"/>
    <x v="5"/>
    <x v="636"/>
    <x v="6"/>
    <n v="13.2225"/>
    <n v="277.67250000000001"/>
    <x v="68"/>
    <x v="41"/>
    <x v="0"/>
    <n v="264.45"/>
    <n v="4.7619047620000003"/>
    <n v="13.2225"/>
    <n v="7.9"/>
  </r>
  <r>
    <s v="816-72-8853"/>
    <x v="0"/>
    <x v="0"/>
    <x v="0"/>
    <x v="0"/>
    <x v="3"/>
    <x v="637"/>
    <x v="1"/>
    <n v="6.9824999999999999"/>
    <n v="146.63249999999999"/>
    <x v="71"/>
    <x v="74"/>
    <x v="1"/>
    <n v="139.65"/>
    <n v="4.7619047620000003"/>
    <n v="6.9824999999999999"/>
    <n v="5.9"/>
  </r>
  <r>
    <s v="491-38-3499"/>
    <x v="0"/>
    <x v="0"/>
    <x v="0"/>
    <x v="1"/>
    <x v="5"/>
    <x v="638"/>
    <x v="8"/>
    <n v="2.7725"/>
    <n v="58.222499999999997"/>
    <x v="84"/>
    <x v="409"/>
    <x v="2"/>
    <n v="55.45"/>
    <n v="4.7619047620000003"/>
    <n v="2.7725"/>
    <n v="4.9000000000000004"/>
  </r>
  <r>
    <s v="322-02-2271"/>
    <x v="2"/>
    <x v="2"/>
    <x v="1"/>
    <x v="0"/>
    <x v="3"/>
    <x v="639"/>
    <x v="6"/>
    <n v="6.4455"/>
    <n v="135.35550000000001"/>
    <x v="36"/>
    <x v="246"/>
    <x v="1"/>
    <n v="128.91"/>
    <n v="4.7619047620000003"/>
    <n v="6.4455"/>
    <n v="9.3000000000000007"/>
  </r>
  <r>
    <s v="842-29-4695"/>
    <x v="1"/>
    <x v="1"/>
    <x v="0"/>
    <x v="1"/>
    <x v="3"/>
    <x v="640"/>
    <x v="0"/>
    <n v="5.9989999999999997"/>
    <n v="125.979"/>
    <x v="65"/>
    <x v="348"/>
    <x v="2"/>
    <n v="119.98"/>
    <n v="4.7619047620000003"/>
    <n v="5.9989999999999997"/>
    <n v="7.9"/>
  </r>
  <r>
    <s v="725-67-2480"/>
    <x v="2"/>
    <x v="2"/>
    <x v="0"/>
    <x v="0"/>
    <x v="5"/>
    <x v="641"/>
    <x v="3"/>
    <n v="17.625"/>
    <n v="370.125"/>
    <x v="62"/>
    <x v="92"/>
    <x v="2"/>
    <n v="352.5"/>
    <n v="4.7619047620000003"/>
    <n v="17.625"/>
    <n v="5.9"/>
  </r>
  <r>
    <s v="641-51-2661"/>
    <x v="1"/>
    <x v="1"/>
    <x v="0"/>
    <x v="0"/>
    <x v="4"/>
    <x v="642"/>
    <x v="4"/>
    <n v="43.55"/>
    <n v="914.55"/>
    <x v="12"/>
    <x v="410"/>
    <x v="2"/>
    <n v="871"/>
    <n v="4.7619047620000003"/>
    <n v="43.55"/>
    <n v="9.9"/>
  </r>
  <r>
    <s v="714-02-3114"/>
    <x v="1"/>
    <x v="1"/>
    <x v="1"/>
    <x v="0"/>
    <x v="3"/>
    <x v="643"/>
    <x v="5"/>
    <n v="9.8800000000000008"/>
    <n v="207.48"/>
    <x v="81"/>
    <x v="411"/>
    <x v="1"/>
    <n v="197.6"/>
    <n v="4.7619047620000003"/>
    <n v="9.8800000000000008"/>
    <n v="7.7"/>
  </r>
  <r>
    <s v="518-17-2983"/>
    <x v="0"/>
    <x v="0"/>
    <x v="1"/>
    <x v="0"/>
    <x v="5"/>
    <x v="644"/>
    <x v="7"/>
    <n v="9.7260000000000009"/>
    <n v="204.24600000000001"/>
    <x v="87"/>
    <x v="284"/>
    <x v="0"/>
    <n v="194.52"/>
    <n v="4.7619047620000003"/>
    <n v="9.7260000000000009"/>
    <n v="7.6"/>
  </r>
  <r>
    <s v="779-42-2410"/>
    <x v="2"/>
    <x v="2"/>
    <x v="0"/>
    <x v="1"/>
    <x v="4"/>
    <x v="645"/>
    <x v="6"/>
    <n v="8.6609999999999996"/>
    <n v="181.881"/>
    <x v="9"/>
    <x v="412"/>
    <x v="0"/>
    <n v="173.22"/>
    <n v="4.7619047620000003"/>
    <n v="8.6609999999999996"/>
    <n v="7.7"/>
  </r>
  <r>
    <s v="190-14-3147"/>
    <x v="2"/>
    <x v="2"/>
    <x v="1"/>
    <x v="0"/>
    <x v="0"/>
    <x v="646"/>
    <x v="7"/>
    <n v="3.5939999999999999"/>
    <n v="75.474000000000004"/>
    <x v="55"/>
    <x v="413"/>
    <x v="0"/>
    <n v="71.88"/>
    <n v="4.7619047620000003"/>
    <n v="3.5939999999999999"/>
    <n v="6.4"/>
  </r>
  <r>
    <s v="408-66-6712"/>
    <x v="1"/>
    <x v="1"/>
    <x v="0"/>
    <x v="0"/>
    <x v="0"/>
    <x v="647"/>
    <x v="3"/>
    <n v="14.313000000000001"/>
    <n v="300.57299999999998"/>
    <x v="69"/>
    <x v="401"/>
    <x v="0"/>
    <n v="286.26"/>
    <n v="4.7619047620000003"/>
    <n v="14.313000000000001"/>
    <n v="4.4000000000000004"/>
  </r>
  <r>
    <s v="679-22-6530"/>
    <x v="2"/>
    <x v="2"/>
    <x v="1"/>
    <x v="0"/>
    <x v="3"/>
    <x v="648"/>
    <x v="5"/>
    <n v="4.0620000000000003"/>
    <n v="85.302000000000007"/>
    <x v="29"/>
    <x v="175"/>
    <x v="2"/>
    <n v="81.239999999999995"/>
    <n v="4.7619047620000003"/>
    <n v="4.0620000000000003"/>
    <n v="4.0999999999999996"/>
  </r>
  <r>
    <s v="588-47-8641"/>
    <x v="0"/>
    <x v="0"/>
    <x v="0"/>
    <x v="1"/>
    <x v="5"/>
    <x v="649"/>
    <x v="4"/>
    <n v="28.02"/>
    <n v="588.41999999999996"/>
    <x v="78"/>
    <x v="171"/>
    <x v="0"/>
    <n v="560.4"/>
    <n v="4.7619047620000003"/>
    <n v="28.02"/>
    <n v="4.4000000000000004"/>
  </r>
  <r>
    <s v="642-61-4706"/>
    <x v="2"/>
    <x v="2"/>
    <x v="0"/>
    <x v="1"/>
    <x v="4"/>
    <x v="650"/>
    <x v="5"/>
    <n v="9.34"/>
    <n v="196.14"/>
    <x v="73"/>
    <x v="414"/>
    <x v="1"/>
    <n v="186.8"/>
    <n v="4.7619047620000003"/>
    <n v="9.34"/>
    <n v="5.5"/>
  </r>
  <r>
    <s v="576-31-4774"/>
    <x v="2"/>
    <x v="2"/>
    <x v="1"/>
    <x v="0"/>
    <x v="0"/>
    <x v="651"/>
    <x v="6"/>
    <n v="11.0115"/>
    <n v="231.2415"/>
    <x v="22"/>
    <x v="415"/>
    <x v="0"/>
    <n v="220.23"/>
    <n v="4.7619047620000003"/>
    <n v="11.0115"/>
    <n v="4"/>
  </r>
  <r>
    <s v="556-41-6224"/>
    <x v="1"/>
    <x v="1"/>
    <x v="1"/>
    <x v="1"/>
    <x v="0"/>
    <x v="652"/>
    <x v="2"/>
    <n v="13.456"/>
    <n v="282.57600000000002"/>
    <x v="42"/>
    <x v="416"/>
    <x v="2"/>
    <n v="269.12"/>
    <n v="4.7619047620000003"/>
    <n v="13.456"/>
    <n v="9.3000000000000007"/>
  </r>
  <r>
    <s v="811-03-8790"/>
    <x v="0"/>
    <x v="0"/>
    <x v="1"/>
    <x v="0"/>
    <x v="1"/>
    <x v="653"/>
    <x v="4"/>
    <n v="22.74"/>
    <n v="477.54"/>
    <x v="59"/>
    <x v="417"/>
    <x v="2"/>
    <n v="454.8"/>
    <n v="4.7619047620000003"/>
    <n v="22.74"/>
    <n v="4.8"/>
  </r>
  <r>
    <s v="242-11-3142"/>
    <x v="2"/>
    <x v="2"/>
    <x v="0"/>
    <x v="1"/>
    <x v="5"/>
    <x v="461"/>
    <x v="5"/>
    <n v="8.3770000000000007"/>
    <n v="175.917"/>
    <x v="7"/>
    <x v="129"/>
    <x v="1"/>
    <n v="167.54"/>
    <n v="4.7619047620000003"/>
    <n v="8.3770000000000007"/>
    <n v="4.5999999999999996"/>
  </r>
  <r>
    <s v="752-23-3760"/>
    <x v="2"/>
    <x v="2"/>
    <x v="0"/>
    <x v="0"/>
    <x v="3"/>
    <x v="654"/>
    <x v="0"/>
    <n v="22.428000000000001"/>
    <n v="470.988"/>
    <x v="88"/>
    <x v="418"/>
    <x v="2"/>
    <n v="448.56"/>
    <n v="4.7619047620000003"/>
    <n v="22.428000000000001"/>
    <n v="7.3"/>
  </r>
  <r>
    <s v="274-05-5470"/>
    <x v="0"/>
    <x v="0"/>
    <x v="0"/>
    <x v="0"/>
    <x v="4"/>
    <x v="655"/>
    <x v="7"/>
    <n v="14.694000000000001"/>
    <n v="308.57400000000001"/>
    <x v="55"/>
    <x v="5"/>
    <x v="1"/>
    <n v="293.88"/>
    <n v="4.7619047620000003"/>
    <n v="14.694000000000001"/>
    <n v="6"/>
  </r>
  <r>
    <s v="648-94-3045"/>
    <x v="1"/>
    <x v="1"/>
    <x v="1"/>
    <x v="1"/>
    <x v="0"/>
    <x v="656"/>
    <x v="4"/>
    <n v="29.475000000000001"/>
    <n v="618.97500000000002"/>
    <x v="13"/>
    <x v="419"/>
    <x v="0"/>
    <n v="589.5"/>
    <n v="4.7619047620000003"/>
    <n v="29.475000000000001"/>
    <n v="8.1"/>
  </r>
  <r>
    <s v="130-67-4723"/>
    <x v="0"/>
    <x v="0"/>
    <x v="0"/>
    <x v="1"/>
    <x v="4"/>
    <x v="495"/>
    <x v="3"/>
    <n v="14.55"/>
    <n v="305.55"/>
    <x v="83"/>
    <x v="317"/>
    <x v="0"/>
    <n v="291"/>
    <n v="4.7619047620000003"/>
    <n v="14.55"/>
    <n v="9.4"/>
  </r>
  <r>
    <s v="528-87-5606"/>
    <x v="2"/>
    <x v="2"/>
    <x v="0"/>
    <x v="0"/>
    <x v="1"/>
    <x v="657"/>
    <x v="8"/>
    <n v="1.974"/>
    <n v="41.454000000000001"/>
    <x v="12"/>
    <x v="213"/>
    <x v="1"/>
    <n v="39.479999999999997"/>
    <n v="4.7619047620000003"/>
    <n v="1.974"/>
    <n v="6.5"/>
  </r>
  <r>
    <s v="320-85-2052"/>
    <x v="2"/>
    <x v="2"/>
    <x v="1"/>
    <x v="0"/>
    <x v="3"/>
    <x v="658"/>
    <x v="8"/>
    <n v="1.7404999999999999"/>
    <n v="36.5505"/>
    <x v="78"/>
    <x v="41"/>
    <x v="2"/>
    <n v="34.81"/>
    <n v="4.7619047620000003"/>
    <n v="1.7404999999999999"/>
    <n v="7"/>
  </r>
  <r>
    <s v="370-96-0655"/>
    <x v="1"/>
    <x v="1"/>
    <x v="1"/>
    <x v="0"/>
    <x v="5"/>
    <x v="659"/>
    <x v="3"/>
    <n v="14.795999999999999"/>
    <n v="310.71600000000001"/>
    <x v="51"/>
    <x v="190"/>
    <x v="0"/>
    <n v="295.92"/>
    <n v="4.7619047620000003"/>
    <n v="14.795999999999999"/>
    <n v="7.1"/>
  </r>
  <r>
    <s v="105-10-6182"/>
    <x v="0"/>
    <x v="0"/>
    <x v="0"/>
    <x v="1"/>
    <x v="5"/>
    <x v="660"/>
    <x v="5"/>
    <n v="2.1480000000000001"/>
    <n v="45.107999999999997"/>
    <x v="33"/>
    <x v="420"/>
    <x v="0"/>
    <n v="42.96"/>
    <n v="4.7619047620000003"/>
    <n v="2.1480000000000001"/>
    <n v="6.6"/>
  </r>
  <r>
    <s v="510-79-0415"/>
    <x v="2"/>
    <x v="2"/>
    <x v="0"/>
    <x v="0"/>
    <x v="3"/>
    <x v="661"/>
    <x v="3"/>
    <n v="6.9240000000000004"/>
    <n v="145.404"/>
    <x v="46"/>
    <x v="25"/>
    <x v="0"/>
    <n v="138.47999999999999"/>
    <n v="4.7619047620000003"/>
    <n v="6.9240000000000004"/>
    <n v="4.9000000000000004"/>
  </r>
  <r>
    <s v="241-96-5076"/>
    <x v="2"/>
    <x v="2"/>
    <x v="0"/>
    <x v="0"/>
    <x v="2"/>
    <x v="662"/>
    <x v="5"/>
    <n v="4.91"/>
    <n v="103.11"/>
    <x v="66"/>
    <x v="187"/>
    <x v="2"/>
    <n v="98.2"/>
    <n v="4.7619047620000003"/>
    <n v="4.91"/>
    <n v="6.4"/>
  </r>
  <r>
    <s v="767-97-4650"/>
    <x v="2"/>
    <x v="2"/>
    <x v="0"/>
    <x v="0"/>
    <x v="3"/>
    <x v="663"/>
    <x v="5"/>
    <n v="6.4829999999999997"/>
    <n v="136.143"/>
    <x v="66"/>
    <x v="421"/>
    <x v="2"/>
    <n v="129.66"/>
    <n v="4.7619047620000003"/>
    <n v="6.4829999999999997"/>
    <n v="8"/>
  </r>
  <r>
    <s v="648-83-1321"/>
    <x v="0"/>
    <x v="0"/>
    <x v="0"/>
    <x v="1"/>
    <x v="2"/>
    <x v="664"/>
    <x v="4"/>
    <n v="31.78"/>
    <n v="667.38"/>
    <x v="65"/>
    <x v="422"/>
    <x v="1"/>
    <n v="635.6"/>
    <n v="4.7619047620000003"/>
    <n v="31.78"/>
    <n v="4.3"/>
  </r>
  <r>
    <s v="173-57-2300"/>
    <x v="1"/>
    <x v="1"/>
    <x v="0"/>
    <x v="1"/>
    <x v="3"/>
    <x v="665"/>
    <x v="5"/>
    <n v="7.2880000000000003"/>
    <n v="153.048"/>
    <x v="45"/>
    <x v="423"/>
    <x v="1"/>
    <n v="145.76"/>
    <n v="4.7619047620000003"/>
    <n v="7.2880000000000003"/>
    <n v="6.1"/>
  </r>
  <r>
    <s v="305-03-2383"/>
    <x v="0"/>
    <x v="0"/>
    <x v="1"/>
    <x v="0"/>
    <x v="4"/>
    <x v="666"/>
    <x v="6"/>
    <n v="10.065"/>
    <n v="211.36500000000001"/>
    <x v="42"/>
    <x v="130"/>
    <x v="1"/>
    <n v="201.3"/>
    <n v="4.7619047620000003"/>
    <n v="10.065"/>
    <n v="7.5"/>
  </r>
  <r>
    <s v="394-55-6384"/>
    <x v="1"/>
    <x v="1"/>
    <x v="0"/>
    <x v="0"/>
    <x v="3"/>
    <x v="667"/>
    <x v="9"/>
    <n v="31.5855"/>
    <n v="663.29549999999995"/>
    <x v="25"/>
    <x v="309"/>
    <x v="1"/>
    <n v="631.71"/>
    <n v="4.7619047620000003"/>
    <n v="31.5855"/>
    <n v="6.7"/>
  </r>
  <r>
    <s v="266-20-6657"/>
    <x v="1"/>
    <x v="1"/>
    <x v="0"/>
    <x v="1"/>
    <x v="4"/>
    <x v="668"/>
    <x v="0"/>
    <n v="19.263999999999999"/>
    <n v="404.54399999999998"/>
    <x v="41"/>
    <x v="30"/>
    <x v="0"/>
    <n v="385.28"/>
    <n v="4.7619047620000003"/>
    <n v="19.263999999999999"/>
    <n v="5.2"/>
  </r>
  <r>
    <s v="689-05-1884"/>
    <x v="0"/>
    <x v="0"/>
    <x v="0"/>
    <x v="1"/>
    <x v="0"/>
    <x v="644"/>
    <x v="4"/>
    <n v="24.315000000000001"/>
    <n v="510.61500000000001"/>
    <x v="31"/>
    <x v="104"/>
    <x v="1"/>
    <n v="486.3"/>
    <n v="4.7619047620000003"/>
    <n v="24.315000000000001"/>
    <n v="8.8000000000000007"/>
  </r>
  <r>
    <s v="196-01-2849"/>
    <x v="1"/>
    <x v="1"/>
    <x v="0"/>
    <x v="0"/>
    <x v="5"/>
    <x v="669"/>
    <x v="0"/>
    <n v="25.683"/>
    <n v="539.34299999999996"/>
    <x v="34"/>
    <x v="424"/>
    <x v="1"/>
    <n v="513.66"/>
    <n v="4.7619047620000003"/>
    <n v="25.683"/>
    <n v="9.5"/>
  </r>
  <r>
    <s v="372-62-5264"/>
    <x v="1"/>
    <x v="1"/>
    <x v="1"/>
    <x v="0"/>
    <x v="4"/>
    <x v="670"/>
    <x v="9"/>
    <n v="23.67"/>
    <n v="497.07"/>
    <x v="65"/>
    <x v="51"/>
    <x v="1"/>
    <n v="473.4"/>
    <n v="4.7619047620000003"/>
    <n v="23.67"/>
    <n v="7.6"/>
  </r>
  <r>
    <s v="800-09-8606"/>
    <x v="0"/>
    <x v="0"/>
    <x v="0"/>
    <x v="0"/>
    <x v="2"/>
    <x v="671"/>
    <x v="1"/>
    <n v="21.842500000000001"/>
    <n v="458.6925"/>
    <x v="71"/>
    <x v="425"/>
    <x v="1"/>
    <n v="436.85"/>
    <n v="4.7619047620000003"/>
    <n v="21.842500000000001"/>
    <n v="6.6"/>
  </r>
  <r>
    <s v="182-52-7000"/>
    <x v="0"/>
    <x v="0"/>
    <x v="0"/>
    <x v="0"/>
    <x v="3"/>
    <x v="672"/>
    <x v="7"/>
    <n v="5.4080000000000004"/>
    <n v="113.568"/>
    <x v="17"/>
    <x v="263"/>
    <x v="0"/>
    <n v="108.16"/>
    <n v="4.7619047620000003"/>
    <n v="5.4080000000000004"/>
    <n v="6.9"/>
  </r>
  <r>
    <s v="826-58-8051"/>
    <x v="2"/>
    <x v="2"/>
    <x v="1"/>
    <x v="1"/>
    <x v="2"/>
    <x v="673"/>
    <x v="7"/>
    <n v="12.438000000000001"/>
    <n v="261.19799999999998"/>
    <x v="47"/>
    <x v="162"/>
    <x v="0"/>
    <n v="248.76"/>
    <n v="4.7619047620000003"/>
    <n v="12.438000000000001"/>
    <n v="4.3"/>
  </r>
  <r>
    <s v="868-06-0466"/>
    <x v="0"/>
    <x v="0"/>
    <x v="0"/>
    <x v="1"/>
    <x v="1"/>
    <x v="674"/>
    <x v="9"/>
    <n v="31.311"/>
    <n v="657.53099999999995"/>
    <x v="88"/>
    <x v="371"/>
    <x v="2"/>
    <n v="626.22"/>
    <n v="4.7619047620000003"/>
    <n v="31.311"/>
    <n v="7.8"/>
  </r>
  <r>
    <s v="751-41-9720"/>
    <x v="1"/>
    <x v="1"/>
    <x v="1"/>
    <x v="1"/>
    <x v="2"/>
    <x v="675"/>
    <x v="4"/>
    <n v="48.75"/>
    <n v="1023.75"/>
    <x v="52"/>
    <x v="426"/>
    <x v="0"/>
    <n v="975"/>
    <n v="4.7619047620000003"/>
    <n v="48.75"/>
    <n v="8"/>
  </r>
  <r>
    <s v="626-43-7888"/>
    <x v="1"/>
    <x v="1"/>
    <x v="1"/>
    <x v="0"/>
    <x v="5"/>
    <x v="676"/>
    <x v="2"/>
    <n v="24.164000000000001"/>
    <n v="507.44400000000002"/>
    <x v="13"/>
    <x v="384"/>
    <x v="0"/>
    <n v="483.28"/>
    <n v="4.7619047620000003"/>
    <n v="24.164000000000001"/>
    <n v="9.6"/>
  </r>
  <r>
    <s v="176-64-7711"/>
    <x v="2"/>
    <x v="2"/>
    <x v="1"/>
    <x v="1"/>
    <x v="4"/>
    <x v="379"/>
    <x v="6"/>
    <n v="4.8479999999999999"/>
    <n v="101.80800000000001"/>
    <x v="39"/>
    <x v="386"/>
    <x v="2"/>
    <n v="96.96"/>
    <n v="4.7619047620000003"/>
    <n v="4.8479999999999999"/>
    <n v="4.3"/>
  </r>
  <r>
    <s v="191-29-0321"/>
    <x v="2"/>
    <x v="2"/>
    <x v="0"/>
    <x v="0"/>
    <x v="5"/>
    <x v="677"/>
    <x v="4"/>
    <n v="9.8849999999999998"/>
    <n v="207.58500000000001"/>
    <x v="33"/>
    <x v="427"/>
    <x v="2"/>
    <n v="197.7"/>
    <n v="4.7619047620000003"/>
    <n v="9.8849999999999998"/>
    <n v="5"/>
  </r>
  <r>
    <s v="729-06-2010"/>
    <x v="2"/>
    <x v="2"/>
    <x v="0"/>
    <x v="1"/>
    <x v="0"/>
    <x v="678"/>
    <x v="9"/>
    <n v="36.211500000000001"/>
    <n v="760.44150000000002"/>
    <x v="47"/>
    <x v="428"/>
    <x v="1"/>
    <n v="724.23"/>
    <n v="4.7619047620000003"/>
    <n v="36.211500000000001"/>
    <n v="9.1999999999999993"/>
  </r>
  <r>
    <s v="640-48-5028"/>
    <x v="2"/>
    <x v="2"/>
    <x v="0"/>
    <x v="0"/>
    <x v="2"/>
    <x v="679"/>
    <x v="9"/>
    <n v="39.775500000000001"/>
    <n v="835.28549999999996"/>
    <x v="22"/>
    <x v="343"/>
    <x v="1"/>
    <n v="795.51"/>
    <n v="4.7619047620000003"/>
    <n v="39.775500000000001"/>
    <n v="6.3"/>
  </r>
  <r>
    <s v="186-79-9562"/>
    <x v="2"/>
    <x v="2"/>
    <x v="1"/>
    <x v="1"/>
    <x v="0"/>
    <x v="680"/>
    <x v="0"/>
    <n v="25.119499999999999"/>
    <n v="527.5095"/>
    <x v="14"/>
    <x v="429"/>
    <x v="1"/>
    <n v="502.39"/>
    <n v="4.7619047620000003"/>
    <n v="25.119499999999999"/>
    <n v="8.9"/>
  </r>
  <r>
    <s v="834-45-5519"/>
    <x v="2"/>
    <x v="2"/>
    <x v="1"/>
    <x v="0"/>
    <x v="1"/>
    <x v="681"/>
    <x v="7"/>
    <n v="8.6"/>
    <n v="180.6"/>
    <x v="82"/>
    <x v="109"/>
    <x v="0"/>
    <n v="172"/>
    <n v="4.7619047620000003"/>
    <n v="8.6"/>
    <n v="7.6"/>
  </r>
  <r>
    <s v="162-65-8559"/>
    <x v="1"/>
    <x v="1"/>
    <x v="0"/>
    <x v="1"/>
    <x v="4"/>
    <x v="682"/>
    <x v="8"/>
    <n v="3.4489999999999998"/>
    <n v="72.429000000000002"/>
    <x v="18"/>
    <x v="430"/>
    <x v="1"/>
    <n v="68.98"/>
    <n v="4.7619047620000003"/>
    <n v="3.4489999999999998"/>
    <n v="4.8"/>
  </r>
  <r>
    <s v="760-27-5490"/>
    <x v="1"/>
    <x v="1"/>
    <x v="1"/>
    <x v="1"/>
    <x v="5"/>
    <x v="683"/>
    <x v="2"/>
    <n v="6.2480000000000002"/>
    <n v="131.208"/>
    <x v="40"/>
    <x v="291"/>
    <x v="0"/>
    <n v="124.96"/>
    <n v="4.7619047620000003"/>
    <n v="6.2480000000000002"/>
    <n v="9.1"/>
  </r>
  <r>
    <s v="445-30-9252"/>
    <x v="0"/>
    <x v="0"/>
    <x v="1"/>
    <x v="1"/>
    <x v="3"/>
    <x v="684"/>
    <x v="6"/>
    <n v="3.855"/>
    <n v="80.954999999999998"/>
    <x v="29"/>
    <x v="422"/>
    <x v="0"/>
    <n v="77.099999999999994"/>
    <n v="4.7619047620000003"/>
    <n v="3.855"/>
    <n v="6.1"/>
  </r>
  <r>
    <s v="786-94-2700"/>
    <x v="0"/>
    <x v="0"/>
    <x v="0"/>
    <x v="1"/>
    <x v="4"/>
    <x v="685"/>
    <x v="3"/>
    <n v="24.186"/>
    <n v="507.90600000000001"/>
    <x v="38"/>
    <x v="307"/>
    <x v="1"/>
    <n v="483.72"/>
    <n v="4.7619047620000003"/>
    <n v="24.186"/>
    <n v="9.1"/>
  </r>
  <r>
    <s v="728-88-7867"/>
    <x v="1"/>
    <x v="1"/>
    <x v="0"/>
    <x v="0"/>
    <x v="2"/>
    <x v="686"/>
    <x v="7"/>
    <n v="15.106"/>
    <n v="317.226"/>
    <x v="35"/>
    <x v="350"/>
    <x v="0"/>
    <n v="302.12"/>
    <n v="4.7619047620000003"/>
    <n v="15.106"/>
    <n v="8.3000000000000007"/>
  </r>
  <r>
    <s v="183-21-3799"/>
    <x v="1"/>
    <x v="1"/>
    <x v="1"/>
    <x v="0"/>
    <x v="1"/>
    <x v="687"/>
    <x v="9"/>
    <n v="34.933500000000002"/>
    <n v="733.60350000000005"/>
    <x v="88"/>
    <x v="431"/>
    <x v="0"/>
    <n v="698.67"/>
    <n v="4.7619047620000003"/>
    <n v="34.933500000000002"/>
    <n v="7.2"/>
  </r>
  <r>
    <s v="268-20-3585"/>
    <x v="1"/>
    <x v="1"/>
    <x v="1"/>
    <x v="0"/>
    <x v="0"/>
    <x v="688"/>
    <x v="9"/>
    <n v="6.2324999999999999"/>
    <n v="130.88249999999999"/>
    <x v="87"/>
    <x v="165"/>
    <x v="0"/>
    <n v="124.65"/>
    <n v="4.7619047620000003"/>
    <n v="6.2324999999999999"/>
    <n v="6"/>
  </r>
  <r>
    <s v="735-32-9839"/>
    <x v="1"/>
    <x v="1"/>
    <x v="0"/>
    <x v="1"/>
    <x v="5"/>
    <x v="43"/>
    <x v="2"/>
    <n v="39.479999999999997"/>
    <n v="829.08"/>
    <x v="82"/>
    <x v="130"/>
    <x v="0"/>
    <n v="789.6"/>
    <n v="4.7619047620000003"/>
    <n v="39.479999999999997"/>
    <n v="8.5"/>
  </r>
  <r>
    <s v="258-92-7466"/>
    <x v="0"/>
    <x v="0"/>
    <x v="1"/>
    <x v="0"/>
    <x v="0"/>
    <x v="689"/>
    <x v="1"/>
    <n v="8.92"/>
    <n v="187.32"/>
    <x v="10"/>
    <x v="333"/>
    <x v="2"/>
    <n v="178.4"/>
    <n v="4.7619047620000003"/>
    <n v="8.92"/>
    <n v="6.6"/>
  </r>
  <r>
    <s v="857-16-3520"/>
    <x v="0"/>
    <x v="0"/>
    <x v="0"/>
    <x v="0"/>
    <x v="5"/>
    <x v="690"/>
    <x v="0"/>
    <n v="25.010999999999999"/>
    <n v="525.23099999999999"/>
    <x v="61"/>
    <x v="432"/>
    <x v="0"/>
    <n v="500.22"/>
    <n v="4.7619047620000003"/>
    <n v="25.010999999999999"/>
    <n v="4.5"/>
  </r>
  <r>
    <s v="482-17-1179"/>
    <x v="0"/>
    <x v="0"/>
    <x v="0"/>
    <x v="1"/>
    <x v="1"/>
    <x v="691"/>
    <x v="6"/>
    <n v="1.7909999999999999"/>
    <n v="37.610999999999997"/>
    <x v="64"/>
    <x v="433"/>
    <x v="2"/>
    <n v="35.82"/>
    <n v="4.7619047620000003"/>
    <n v="1.7909999999999999"/>
    <n v="8.1"/>
  </r>
  <r>
    <s v="788-21-5741"/>
    <x v="0"/>
    <x v="0"/>
    <x v="1"/>
    <x v="1"/>
    <x v="5"/>
    <x v="408"/>
    <x v="6"/>
    <n v="6.8070000000000004"/>
    <n v="142.947"/>
    <x v="21"/>
    <x v="229"/>
    <x v="2"/>
    <n v="136.13999999999999"/>
    <n v="4.7619047620000003"/>
    <n v="6.8070000000000004"/>
    <n v="7.2"/>
  </r>
  <r>
    <s v="821-14-9046"/>
    <x v="2"/>
    <x v="2"/>
    <x v="0"/>
    <x v="0"/>
    <x v="5"/>
    <x v="692"/>
    <x v="3"/>
    <n v="5.2439999999999998"/>
    <n v="110.124"/>
    <x v="68"/>
    <x v="278"/>
    <x v="2"/>
    <n v="104.88"/>
    <n v="4.7619047620000003"/>
    <n v="5.2439999999999998"/>
    <n v="6.1"/>
  </r>
  <r>
    <s v="418-05-0656"/>
    <x v="2"/>
    <x v="2"/>
    <x v="1"/>
    <x v="0"/>
    <x v="5"/>
    <x v="693"/>
    <x v="0"/>
    <n v="8.9459999999999997"/>
    <n v="187.86600000000001"/>
    <x v="30"/>
    <x v="434"/>
    <x v="1"/>
    <n v="178.92"/>
    <n v="4.7619047620000003"/>
    <n v="8.9459999999999997"/>
    <n v="7.1"/>
  </r>
  <r>
    <s v="678-79-0726"/>
    <x v="1"/>
    <x v="1"/>
    <x v="0"/>
    <x v="0"/>
    <x v="3"/>
    <x v="694"/>
    <x v="9"/>
    <n v="40.783499999999997"/>
    <n v="856.45349999999996"/>
    <x v="68"/>
    <x v="311"/>
    <x v="1"/>
    <n v="815.67"/>
    <n v="4.7619047620000003"/>
    <n v="40.783499999999997"/>
    <n v="5.0999999999999996"/>
  </r>
  <r>
    <s v="776-68-1096"/>
    <x v="2"/>
    <x v="2"/>
    <x v="1"/>
    <x v="1"/>
    <x v="2"/>
    <x v="695"/>
    <x v="6"/>
    <n v="6.6180000000000003"/>
    <n v="138.97800000000001"/>
    <x v="79"/>
    <x v="286"/>
    <x v="2"/>
    <n v="132.36000000000001"/>
    <n v="4.7619047620000003"/>
    <n v="6.6180000000000003"/>
    <n v="7.9"/>
  </r>
  <r>
    <s v="592-46-1692"/>
    <x v="1"/>
    <x v="1"/>
    <x v="0"/>
    <x v="0"/>
    <x v="4"/>
    <x v="696"/>
    <x v="0"/>
    <n v="12.8695"/>
    <n v="270.2595"/>
    <x v="83"/>
    <x v="435"/>
    <x v="1"/>
    <n v="257.39"/>
    <n v="4.7619047620000003"/>
    <n v="12.8695"/>
    <n v="7.4"/>
  </r>
  <r>
    <s v="434-35-9162"/>
    <x v="2"/>
    <x v="2"/>
    <x v="0"/>
    <x v="1"/>
    <x v="4"/>
    <x v="697"/>
    <x v="7"/>
    <n v="4.6680000000000001"/>
    <n v="98.028000000000006"/>
    <x v="87"/>
    <x v="387"/>
    <x v="0"/>
    <n v="93.36"/>
    <n v="4.7619047620000003"/>
    <n v="4.6680000000000001"/>
    <n v="7.4"/>
  </r>
  <r>
    <s v="149-14-0304"/>
    <x v="1"/>
    <x v="1"/>
    <x v="0"/>
    <x v="0"/>
    <x v="0"/>
    <x v="698"/>
    <x v="2"/>
    <n v="11.4"/>
    <n v="239.4"/>
    <x v="10"/>
    <x v="436"/>
    <x v="1"/>
    <n v="228"/>
    <n v="4.7619047620000003"/>
    <n v="11.4"/>
    <n v="6.6"/>
  </r>
  <r>
    <s v="442-44-6497"/>
    <x v="1"/>
    <x v="1"/>
    <x v="0"/>
    <x v="1"/>
    <x v="2"/>
    <x v="699"/>
    <x v="6"/>
    <n v="8.3354999999999997"/>
    <n v="175.0455"/>
    <x v="66"/>
    <x v="437"/>
    <x v="2"/>
    <n v="166.71"/>
    <n v="4.7619047620000003"/>
    <n v="8.3354999999999997"/>
    <n v="5.9"/>
  </r>
  <r>
    <s v="174-64-0215"/>
    <x v="2"/>
    <x v="2"/>
    <x v="1"/>
    <x v="1"/>
    <x v="3"/>
    <x v="700"/>
    <x v="4"/>
    <n v="34.869999999999997"/>
    <n v="732.27"/>
    <x v="19"/>
    <x v="438"/>
    <x v="2"/>
    <n v="697.4"/>
    <n v="4.7619047620000003"/>
    <n v="34.869999999999997"/>
    <n v="8.9"/>
  </r>
  <r>
    <s v="210-74-9613"/>
    <x v="1"/>
    <x v="1"/>
    <x v="1"/>
    <x v="1"/>
    <x v="5"/>
    <x v="701"/>
    <x v="7"/>
    <n v="19.452000000000002"/>
    <n v="408.49200000000002"/>
    <x v="32"/>
    <x v="439"/>
    <x v="0"/>
    <n v="389.04"/>
    <n v="4.7619047620000003"/>
    <n v="19.452000000000002"/>
    <n v="6.8"/>
  </r>
  <r>
    <s v="299-29-0180"/>
    <x v="2"/>
    <x v="2"/>
    <x v="0"/>
    <x v="0"/>
    <x v="2"/>
    <x v="702"/>
    <x v="0"/>
    <n v="18.263000000000002"/>
    <n v="383.52300000000002"/>
    <x v="11"/>
    <x v="200"/>
    <x v="1"/>
    <n v="365.26"/>
    <n v="4.7619047620000003"/>
    <n v="18.263000000000002"/>
    <n v="9.3000000000000007"/>
  </r>
  <r>
    <s v="247-11-2470"/>
    <x v="0"/>
    <x v="0"/>
    <x v="0"/>
    <x v="0"/>
    <x v="5"/>
    <x v="703"/>
    <x v="7"/>
    <n v="4.4640000000000004"/>
    <n v="93.744"/>
    <x v="59"/>
    <x v="293"/>
    <x v="2"/>
    <n v="89.28"/>
    <n v="4.7619047620000003"/>
    <n v="4.4640000000000004"/>
    <n v="4.4000000000000004"/>
  </r>
  <r>
    <s v="635-28-5728"/>
    <x v="0"/>
    <x v="0"/>
    <x v="1"/>
    <x v="1"/>
    <x v="0"/>
    <x v="704"/>
    <x v="6"/>
    <n v="8.4"/>
    <n v="176.4"/>
    <x v="38"/>
    <x v="295"/>
    <x v="0"/>
    <n v="168"/>
    <n v="4.7619047620000003"/>
    <n v="8.4"/>
    <n v="4.8"/>
  </r>
  <r>
    <s v="756-49-0168"/>
    <x v="0"/>
    <x v="0"/>
    <x v="0"/>
    <x v="1"/>
    <x v="5"/>
    <x v="705"/>
    <x v="8"/>
    <n v="0.98499999999999999"/>
    <n v="20.684999999999999"/>
    <x v="4"/>
    <x v="411"/>
    <x v="0"/>
    <n v="19.7"/>
    <n v="4.7619047620000003"/>
    <n v="0.98499999999999999"/>
    <n v="9.5"/>
  </r>
  <r>
    <s v="438-23-1242"/>
    <x v="2"/>
    <x v="2"/>
    <x v="1"/>
    <x v="1"/>
    <x v="1"/>
    <x v="528"/>
    <x v="0"/>
    <n v="26.558"/>
    <n v="557.71799999999996"/>
    <x v="46"/>
    <x v="440"/>
    <x v="0"/>
    <n v="531.16"/>
    <n v="4.7619047620000003"/>
    <n v="26.558"/>
    <n v="8.9"/>
  </r>
  <r>
    <s v="238-45-6950"/>
    <x v="2"/>
    <x v="2"/>
    <x v="0"/>
    <x v="1"/>
    <x v="4"/>
    <x v="706"/>
    <x v="8"/>
    <n v="2.6859999999999999"/>
    <n v="56.405999999999999"/>
    <x v="59"/>
    <x v="356"/>
    <x v="0"/>
    <n v="53.72"/>
    <n v="4.7619047620000003"/>
    <n v="2.6859999999999999"/>
    <n v="6.4"/>
  </r>
  <r>
    <s v="607-65-2441"/>
    <x v="1"/>
    <x v="1"/>
    <x v="0"/>
    <x v="1"/>
    <x v="0"/>
    <x v="707"/>
    <x v="4"/>
    <n v="40.975000000000001"/>
    <n v="860.47500000000002"/>
    <x v="24"/>
    <x v="441"/>
    <x v="2"/>
    <n v="819.5"/>
    <n v="4.7619047620000003"/>
    <n v="40.975000000000001"/>
    <n v="6"/>
  </r>
  <r>
    <s v="386-27-7606"/>
    <x v="1"/>
    <x v="1"/>
    <x v="0"/>
    <x v="0"/>
    <x v="2"/>
    <x v="708"/>
    <x v="0"/>
    <n v="28.42"/>
    <n v="596.82000000000005"/>
    <x v="28"/>
    <x v="273"/>
    <x v="2"/>
    <n v="568.4"/>
    <n v="4.7619047620000003"/>
    <n v="28.42"/>
    <n v="8.1"/>
  </r>
  <r>
    <s v="137-63-5492"/>
    <x v="1"/>
    <x v="1"/>
    <x v="1"/>
    <x v="1"/>
    <x v="1"/>
    <x v="709"/>
    <x v="4"/>
    <n v="29.38"/>
    <n v="616.98"/>
    <x v="71"/>
    <x v="442"/>
    <x v="0"/>
    <n v="587.6"/>
    <n v="4.7619047620000003"/>
    <n v="29.38"/>
    <n v="9"/>
  </r>
  <r>
    <s v="197-77-7132"/>
    <x v="2"/>
    <x v="2"/>
    <x v="0"/>
    <x v="1"/>
    <x v="1"/>
    <x v="710"/>
    <x v="2"/>
    <n v="36.624000000000002"/>
    <n v="769.10400000000004"/>
    <x v="52"/>
    <x v="282"/>
    <x v="0"/>
    <n v="732.48"/>
    <n v="4.7619047620000003"/>
    <n v="36.624000000000002"/>
    <n v="6"/>
  </r>
  <r>
    <s v="805-86-0265"/>
    <x v="0"/>
    <x v="0"/>
    <x v="1"/>
    <x v="1"/>
    <x v="2"/>
    <x v="45"/>
    <x v="9"/>
    <n v="42.281999999999996"/>
    <n v="887.92200000000003"/>
    <x v="80"/>
    <x v="102"/>
    <x v="1"/>
    <n v="845.64"/>
    <n v="4.7619047620000003"/>
    <n v="42.281999999999996"/>
    <n v="9.8000000000000007"/>
  </r>
  <r>
    <s v="733-29-1227"/>
    <x v="1"/>
    <x v="1"/>
    <x v="1"/>
    <x v="1"/>
    <x v="2"/>
    <x v="711"/>
    <x v="0"/>
    <n v="19.4635"/>
    <n v="408.73349999999999"/>
    <x v="28"/>
    <x v="443"/>
    <x v="1"/>
    <n v="389.27"/>
    <n v="4.7619047620000003"/>
    <n v="19.4635"/>
    <n v="8.5"/>
  </r>
  <r>
    <s v="451-73-2711"/>
    <x v="1"/>
    <x v="1"/>
    <x v="1"/>
    <x v="1"/>
    <x v="4"/>
    <x v="712"/>
    <x v="8"/>
    <n v="4.2415000000000003"/>
    <n v="89.0715"/>
    <x v="78"/>
    <x v="444"/>
    <x v="0"/>
    <n v="84.83"/>
    <n v="4.7619047620000003"/>
    <n v="4.2415000000000003"/>
    <n v="8.8000000000000007"/>
  </r>
  <r>
    <s v="373-14-0504"/>
    <x v="0"/>
    <x v="0"/>
    <x v="0"/>
    <x v="0"/>
    <x v="3"/>
    <x v="713"/>
    <x v="5"/>
    <n v="7.1630000000000003"/>
    <n v="150.423"/>
    <x v="12"/>
    <x v="375"/>
    <x v="0"/>
    <n v="143.26"/>
    <n v="4.7619047620000003"/>
    <n v="7.1630000000000003"/>
    <n v="8.8000000000000007"/>
  </r>
  <r>
    <s v="546-80-2899"/>
    <x v="0"/>
    <x v="0"/>
    <x v="0"/>
    <x v="1"/>
    <x v="2"/>
    <x v="714"/>
    <x v="5"/>
    <n v="3.7690000000000001"/>
    <n v="79.149000000000001"/>
    <x v="9"/>
    <x v="406"/>
    <x v="0"/>
    <n v="75.38"/>
    <n v="4.7619047620000003"/>
    <n v="3.7690000000000001"/>
    <n v="9.5"/>
  </r>
  <r>
    <s v="345-68-9016"/>
    <x v="1"/>
    <x v="1"/>
    <x v="0"/>
    <x v="0"/>
    <x v="3"/>
    <x v="715"/>
    <x v="2"/>
    <n v="12.667999999999999"/>
    <n v="266.02800000000002"/>
    <x v="56"/>
    <x v="15"/>
    <x v="2"/>
    <n v="253.36"/>
    <n v="4.7619047620000003"/>
    <n v="12.667999999999999"/>
    <n v="5.6"/>
  </r>
  <r>
    <s v="390-17-5806"/>
    <x v="1"/>
    <x v="1"/>
    <x v="0"/>
    <x v="0"/>
    <x v="4"/>
    <x v="716"/>
    <x v="8"/>
    <n v="1.921"/>
    <n v="40.341000000000001"/>
    <x v="30"/>
    <x v="445"/>
    <x v="1"/>
    <n v="38.42"/>
    <n v="4.7619047620000003"/>
    <n v="1.921"/>
    <n v="8.6"/>
  </r>
  <r>
    <s v="457-13-1708"/>
    <x v="2"/>
    <x v="2"/>
    <x v="0"/>
    <x v="1"/>
    <x v="5"/>
    <x v="717"/>
    <x v="4"/>
    <n v="32.615000000000002"/>
    <n v="684.91499999999996"/>
    <x v="66"/>
    <x v="312"/>
    <x v="2"/>
    <n v="652.29999999999995"/>
    <n v="4.7619047620000003"/>
    <n v="32.615000000000002"/>
    <n v="5.2"/>
  </r>
  <r>
    <s v="664-14-2882"/>
    <x v="1"/>
    <x v="1"/>
    <x v="0"/>
    <x v="0"/>
    <x v="2"/>
    <x v="718"/>
    <x v="1"/>
    <n v="2.6324999999999998"/>
    <n v="55.282499999999999"/>
    <x v="74"/>
    <x v="140"/>
    <x v="2"/>
    <n v="52.65"/>
    <n v="4.7619047620000003"/>
    <n v="2.6324999999999998"/>
    <n v="5.8"/>
  </r>
  <r>
    <s v="487-79-6868"/>
    <x v="2"/>
    <x v="2"/>
    <x v="0"/>
    <x v="0"/>
    <x v="2"/>
    <x v="719"/>
    <x v="9"/>
    <n v="5.5305"/>
    <n v="116.1405"/>
    <x v="58"/>
    <x v="198"/>
    <x v="2"/>
    <n v="110.61"/>
    <n v="4.7619047620000003"/>
    <n v="5.5305"/>
    <n v="8"/>
  </r>
  <r>
    <s v="314-23-4520"/>
    <x v="1"/>
    <x v="1"/>
    <x v="0"/>
    <x v="1"/>
    <x v="0"/>
    <x v="720"/>
    <x v="0"/>
    <n v="28.430499999999999"/>
    <n v="597.04049999999995"/>
    <x v="15"/>
    <x v="446"/>
    <x v="1"/>
    <n v="568.61"/>
    <n v="4.7619047620000003"/>
    <n v="28.430499999999999"/>
    <n v="9"/>
  </r>
  <r>
    <s v="210-30-7976"/>
    <x v="2"/>
    <x v="2"/>
    <x v="0"/>
    <x v="0"/>
    <x v="5"/>
    <x v="703"/>
    <x v="7"/>
    <n v="4.4640000000000004"/>
    <n v="93.744"/>
    <x v="86"/>
    <x v="447"/>
    <x v="0"/>
    <n v="89.28"/>
    <n v="4.7619047620000003"/>
    <n v="4.4640000000000004"/>
    <n v="4.0999999999999996"/>
  </r>
  <r>
    <s v="585-86-8361"/>
    <x v="0"/>
    <x v="0"/>
    <x v="1"/>
    <x v="0"/>
    <x v="4"/>
    <x v="721"/>
    <x v="1"/>
    <n v="6.82"/>
    <n v="143.22"/>
    <x v="36"/>
    <x v="359"/>
    <x v="2"/>
    <n v="136.4"/>
    <n v="4.7619047620000003"/>
    <n v="6.82"/>
    <n v="8.6"/>
  </r>
  <r>
    <s v="807-14-7833"/>
    <x v="0"/>
    <x v="0"/>
    <x v="0"/>
    <x v="0"/>
    <x v="1"/>
    <x v="722"/>
    <x v="4"/>
    <n v="8.7100000000000009"/>
    <n v="182.91"/>
    <x v="70"/>
    <x v="448"/>
    <x v="0"/>
    <n v="174.2"/>
    <n v="4.7619047620000003"/>
    <n v="8.7100000000000009"/>
    <n v="7"/>
  </r>
  <r>
    <s v="775-72-1988"/>
    <x v="2"/>
    <x v="2"/>
    <x v="1"/>
    <x v="1"/>
    <x v="2"/>
    <x v="723"/>
    <x v="1"/>
    <n v="18.32"/>
    <n v="384.72"/>
    <x v="46"/>
    <x v="184"/>
    <x v="0"/>
    <n v="366.4"/>
    <n v="4.7619047620000003"/>
    <n v="18.32"/>
    <n v="8.4"/>
  </r>
  <r>
    <s v="288-38-3758"/>
    <x v="1"/>
    <x v="1"/>
    <x v="0"/>
    <x v="0"/>
    <x v="5"/>
    <x v="724"/>
    <x v="6"/>
    <n v="12.730499999999999"/>
    <n v="267.34050000000002"/>
    <x v="25"/>
    <x v="5"/>
    <x v="0"/>
    <n v="254.61"/>
    <n v="4.7619047620000003"/>
    <n v="12.730499999999999"/>
    <n v="7.4"/>
  </r>
  <r>
    <s v="652-43-6591"/>
    <x v="0"/>
    <x v="0"/>
    <x v="1"/>
    <x v="0"/>
    <x v="5"/>
    <x v="725"/>
    <x v="2"/>
    <n v="38.915999999999997"/>
    <n v="817.23599999999999"/>
    <x v="11"/>
    <x v="118"/>
    <x v="2"/>
    <n v="778.32"/>
    <n v="4.7619047620000003"/>
    <n v="38.915999999999997"/>
    <n v="6.2"/>
  </r>
  <r>
    <s v="785-96-0615"/>
    <x v="2"/>
    <x v="2"/>
    <x v="0"/>
    <x v="0"/>
    <x v="1"/>
    <x v="726"/>
    <x v="2"/>
    <n v="14.295999999999999"/>
    <n v="300.21600000000001"/>
    <x v="21"/>
    <x v="311"/>
    <x v="0"/>
    <n v="285.92"/>
    <n v="4.7619047620000003"/>
    <n v="14.295999999999999"/>
    <n v="4.9000000000000004"/>
  </r>
  <r>
    <s v="406-46-7107"/>
    <x v="0"/>
    <x v="0"/>
    <x v="1"/>
    <x v="0"/>
    <x v="2"/>
    <x v="727"/>
    <x v="3"/>
    <n v="28.956"/>
    <n v="608.07600000000002"/>
    <x v="83"/>
    <x v="408"/>
    <x v="1"/>
    <n v="579.12"/>
    <n v="4.7619047620000003"/>
    <n v="28.956"/>
    <n v="4.5"/>
  </r>
  <r>
    <s v="250-17-5703"/>
    <x v="0"/>
    <x v="0"/>
    <x v="0"/>
    <x v="1"/>
    <x v="4"/>
    <x v="728"/>
    <x v="4"/>
    <n v="9.4250000000000007"/>
    <n v="197.92500000000001"/>
    <x v="33"/>
    <x v="202"/>
    <x v="0"/>
    <n v="188.5"/>
    <n v="4.7619047620000003"/>
    <n v="9.4250000000000007"/>
    <n v="5.6"/>
  </r>
  <r>
    <s v="156-95-3964"/>
    <x v="0"/>
    <x v="0"/>
    <x v="1"/>
    <x v="0"/>
    <x v="4"/>
    <x v="729"/>
    <x v="7"/>
    <n v="11.077999999999999"/>
    <n v="232.63800000000001"/>
    <x v="5"/>
    <x v="332"/>
    <x v="0"/>
    <n v="221.56"/>
    <n v="4.7619047620000003"/>
    <n v="11.077999999999999"/>
    <n v="8"/>
  </r>
  <r>
    <s v="842-40-8179"/>
    <x v="2"/>
    <x v="2"/>
    <x v="0"/>
    <x v="0"/>
    <x v="4"/>
    <x v="730"/>
    <x v="4"/>
    <n v="38.6"/>
    <n v="810.6"/>
    <x v="48"/>
    <x v="440"/>
    <x v="2"/>
    <n v="772"/>
    <n v="4.7619047620000003"/>
    <n v="38.6"/>
    <n v="5.6"/>
  </r>
  <r>
    <s v="525-09-8450"/>
    <x v="2"/>
    <x v="2"/>
    <x v="1"/>
    <x v="1"/>
    <x v="1"/>
    <x v="731"/>
    <x v="4"/>
    <n v="36.064999999999998"/>
    <n v="757.36500000000001"/>
    <x v="82"/>
    <x v="290"/>
    <x v="2"/>
    <n v="721.3"/>
    <n v="4.7619047620000003"/>
    <n v="36.064999999999998"/>
    <n v="4.2"/>
  </r>
  <r>
    <s v="410-67-1709"/>
    <x v="0"/>
    <x v="0"/>
    <x v="0"/>
    <x v="0"/>
    <x v="5"/>
    <x v="732"/>
    <x v="2"/>
    <n v="25.552"/>
    <n v="536.59199999999998"/>
    <x v="40"/>
    <x v="449"/>
    <x v="0"/>
    <n v="511.04"/>
    <n v="4.7619047620000003"/>
    <n v="25.552"/>
    <n v="9.9"/>
  </r>
  <r>
    <s v="587-73-4862"/>
    <x v="0"/>
    <x v="0"/>
    <x v="0"/>
    <x v="0"/>
    <x v="0"/>
    <x v="733"/>
    <x v="1"/>
    <n v="2.6724999999999999"/>
    <n v="56.122500000000002"/>
    <x v="58"/>
    <x v="383"/>
    <x v="0"/>
    <n v="53.45"/>
    <n v="4.7619047620000003"/>
    <n v="2.6724999999999999"/>
    <n v="7.6"/>
  </r>
  <r>
    <s v="787-87-2010"/>
    <x v="0"/>
    <x v="0"/>
    <x v="0"/>
    <x v="1"/>
    <x v="0"/>
    <x v="734"/>
    <x v="7"/>
    <n v="11.1"/>
    <n v="233.1"/>
    <x v="40"/>
    <x v="74"/>
    <x v="2"/>
    <n v="222"/>
    <n v="4.7619047620000003"/>
    <n v="11.1"/>
    <n v="6.6"/>
  </r>
  <r>
    <s v="593-14-4239"/>
    <x v="2"/>
    <x v="2"/>
    <x v="1"/>
    <x v="0"/>
    <x v="2"/>
    <x v="735"/>
    <x v="2"/>
    <n v="38.183999999999997"/>
    <n v="801.86400000000003"/>
    <x v="19"/>
    <x v="138"/>
    <x v="0"/>
    <n v="763.68"/>
    <n v="4.7619047620000003"/>
    <n v="38.183999999999997"/>
    <n v="4.7"/>
  </r>
  <r>
    <s v="801-88-0346"/>
    <x v="1"/>
    <x v="1"/>
    <x v="1"/>
    <x v="0"/>
    <x v="5"/>
    <x v="736"/>
    <x v="6"/>
    <n v="11.409000000000001"/>
    <n v="239.589"/>
    <x v="0"/>
    <x v="450"/>
    <x v="2"/>
    <n v="228.18"/>
    <n v="4.7619047620000003"/>
    <n v="11.409000000000001"/>
    <n v="9.8000000000000007"/>
  </r>
  <r>
    <s v="388-76-2555"/>
    <x v="2"/>
    <x v="2"/>
    <x v="1"/>
    <x v="1"/>
    <x v="3"/>
    <x v="737"/>
    <x v="3"/>
    <n v="4.1070000000000002"/>
    <n v="86.247"/>
    <x v="77"/>
    <x v="451"/>
    <x v="1"/>
    <n v="82.14"/>
    <n v="4.7619047620000003"/>
    <n v="4.1070000000000002"/>
    <n v="6.3"/>
  </r>
  <r>
    <s v="711-31-1234"/>
    <x v="2"/>
    <x v="2"/>
    <x v="1"/>
    <x v="0"/>
    <x v="1"/>
    <x v="738"/>
    <x v="7"/>
    <n v="19.128"/>
    <n v="401.68799999999999"/>
    <x v="32"/>
    <x v="370"/>
    <x v="1"/>
    <n v="382.56"/>
    <n v="4.7619047620000003"/>
    <n v="19.128"/>
    <n v="7.9"/>
  </r>
  <r>
    <s v="886-54-6089"/>
    <x v="0"/>
    <x v="0"/>
    <x v="1"/>
    <x v="0"/>
    <x v="2"/>
    <x v="739"/>
    <x v="3"/>
    <n v="3.4289999999999998"/>
    <n v="72.009"/>
    <x v="15"/>
    <x v="45"/>
    <x v="1"/>
    <n v="68.58"/>
    <n v="4.7619047620000003"/>
    <n v="3.4289999999999998"/>
    <n v="7.7"/>
  </r>
  <r>
    <s v="707-32-7409"/>
    <x v="2"/>
    <x v="2"/>
    <x v="0"/>
    <x v="0"/>
    <x v="3"/>
    <x v="425"/>
    <x v="7"/>
    <n v="19.108000000000001"/>
    <n v="401.26799999999997"/>
    <x v="84"/>
    <x v="452"/>
    <x v="0"/>
    <n v="382.16"/>
    <n v="4.7619047620000003"/>
    <n v="19.108000000000001"/>
    <n v="4.5"/>
  </r>
  <r>
    <s v="759-98-4285"/>
    <x v="1"/>
    <x v="1"/>
    <x v="0"/>
    <x v="0"/>
    <x v="0"/>
    <x v="740"/>
    <x v="0"/>
    <n v="30.054500000000001"/>
    <n v="631.14449999999999"/>
    <x v="33"/>
    <x v="54"/>
    <x v="2"/>
    <n v="601.09"/>
    <n v="4.7619047620000003"/>
    <n v="30.054500000000001"/>
    <n v="8"/>
  </r>
  <r>
    <s v="201-63-8275"/>
    <x v="1"/>
    <x v="1"/>
    <x v="0"/>
    <x v="0"/>
    <x v="3"/>
    <x v="741"/>
    <x v="0"/>
    <n v="23.796500000000002"/>
    <n v="499.72649999999999"/>
    <x v="21"/>
    <x v="453"/>
    <x v="0"/>
    <n v="475.93"/>
    <n v="4.7619047620000003"/>
    <n v="23.796500000000002"/>
    <n v="5.7"/>
  </r>
  <r>
    <s v="471-06-8611"/>
    <x v="1"/>
    <x v="1"/>
    <x v="1"/>
    <x v="0"/>
    <x v="4"/>
    <x v="620"/>
    <x v="8"/>
    <n v="2.621"/>
    <n v="55.040999999999997"/>
    <x v="10"/>
    <x v="417"/>
    <x v="2"/>
    <n v="52.42"/>
    <n v="4.7619047620000003"/>
    <n v="2.621"/>
    <n v="6.3"/>
  </r>
  <r>
    <s v="200-16-5952"/>
    <x v="1"/>
    <x v="1"/>
    <x v="0"/>
    <x v="1"/>
    <x v="4"/>
    <x v="742"/>
    <x v="5"/>
    <n v="6.5650000000000004"/>
    <n v="137.86500000000001"/>
    <x v="29"/>
    <x v="252"/>
    <x v="1"/>
    <n v="131.30000000000001"/>
    <n v="4.7619047620000003"/>
    <n v="6.5650000000000004"/>
    <n v="6"/>
  </r>
  <r>
    <s v="120-54-2248"/>
    <x v="2"/>
    <x v="2"/>
    <x v="1"/>
    <x v="0"/>
    <x v="4"/>
    <x v="743"/>
    <x v="1"/>
    <n v="7.2149999999999999"/>
    <n v="151.51499999999999"/>
    <x v="49"/>
    <x v="182"/>
    <x v="2"/>
    <n v="144.30000000000001"/>
    <n v="4.7619047620000003"/>
    <n v="7.2149999999999999"/>
    <n v="8"/>
  </r>
  <r>
    <s v="102-77-2261"/>
    <x v="1"/>
    <x v="1"/>
    <x v="0"/>
    <x v="1"/>
    <x v="0"/>
    <x v="744"/>
    <x v="0"/>
    <n v="22.858499999999999"/>
    <n v="480.02850000000001"/>
    <x v="19"/>
    <x v="454"/>
    <x v="2"/>
    <n v="457.17"/>
    <n v="4.7619047620000003"/>
    <n v="22.858499999999999"/>
    <n v="4.2"/>
  </r>
  <r>
    <s v="875-31-8302"/>
    <x v="2"/>
    <x v="2"/>
    <x v="1"/>
    <x v="1"/>
    <x v="3"/>
    <x v="745"/>
    <x v="8"/>
    <n v="4.6689999999999996"/>
    <n v="98.049000000000007"/>
    <x v="75"/>
    <x v="270"/>
    <x v="1"/>
    <n v="93.38"/>
    <n v="4.7619047620000003"/>
    <n v="4.6689999999999996"/>
    <n v="9.6"/>
  </r>
  <r>
    <s v="102-06-2002"/>
    <x v="1"/>
    <x v="1"/>
    <x v="0"/>
    <x v="1"/>
    <x v="3"/>
    <x v="746"/>
    <x v="1"/>
    <n v="6.3125"/>
    <n v="132.5625"/>
    <x v="80"/>
    <x v="455"/>
    <x v="1"/>
    <n v="126.25"/>
    <n v="4.7619047620000003"/>
    <n v="6.3125"/>
    <n v="6.1"/>
  </r>
  <r>
    <s v="457-94-0464"/>
    <x v="2"/>
    <x v="2"/>
    <x v="0"/>
    <x v="1"/>
    <x v="1"/>
    <x v="95"/>
    <x v="9"/>
    <n v="39.541499999999999"/>
    <n v="830.37149999999997"/>
    <x v="82"/>
    <x v="456"/>
    <x v="0"/>
    <n v="790.83"/>
    <n v="4.7619047620000003"/>
    <n v="39.541499999999999"/>
    <n v="5.6"/>
  </r>
  <r>
    <s v="629-42-4133"/>
    <x v="1"/>
    <x v="1"/>
    <x v="1"/>
    <x v="1"/>
    <x v="0"/>
    <x v="747"/>
    <x v="2"/>
    <n v="8.7200000000000006"/>
    <n v="183.12"/>
    <x v="88"/>
    <x v="225"/>
    <x v="1"/>
    <n v="174.4"/>
    <n v="4.7619047620000003"/>
    <n v="8.7200000000000006"/>
    <n v="8.3000000000000007"/>
  </r>
  <r>
    <s v="534-53-3526"/>
    <x v="0"/>
    <x v="0"/>
    <x v="1"/>
    <x v="0"/>
    <x v="3"/>
    <x v="748"/>
    <x v="7"/>
    <n v="18.952000000000002"/>
    <n v="397.99200000000002"/>
    <x v="48"/>
    <x v="432"/>
    <x v="0"/>
    <n v="379.04"/>
    <n v="4.7619047620000003"/>
    <n v="18.952000000000002"/>
    <n v="7.8"/>
  </r>
  <r>
    <s v="307-04-2070"/>
    <x v="0"/>
    <x v="0"/>
    <x v="0"/>
    <x v="0"/>
    <x v="5"/>
    <x v="749"/>
    <x v="8"/>
    <n v="1.5309999999999999"/>
    <n v="32.151000000000003"/>
    <x v="63"/>
    <x v="341"/>
    <x v="2"/>
    <n v="30.62"/>
    <n v="4.7619047620000003"/>
    <n v="1.5309999999999999"/>
    <n v="4.0999999999999996"/>
  </r>
  <r>
    <s v="468-99-7231"/>
    <x v="1"/>
    <x v="1"/>
    <x v="1"/>
    <x v="0"/>
    <x v="2"/>
    <x v="750"/>
    <x v="2"/>
    <n v="17.603999999999999"/>
    <n v="369.68400000000003"/>
    <x v="2"/>
    <x v="24"/>
    <x v="1"/>
    <n v="352.08"/>
    <n v="4.7619047620000003"/>
    <n v="17.603999999999999"/>
    <n v="8.8000000000000007"/>
  </r>
  <r>
    <s v="516-77-6464"/>
    <x v="1"/>
    <x v="1"/>
    <x v="0"/>
    <x v="0"/>
    <x v="0"/>
    <x v="751"/>
    <x v="1"/>
    <n v="2.54"/>
    <n v="53.34"/>
    <x v="7"/>
    <x v="0"/>
    <x v="0"/>
    <n v="50.8"/>
    <n v="4.7619047620000003"/>
    <n v="2.54"/>
    <n v="4.0999999999999996"/>
  </r>
  <r>
    <s v="404-91-5964"/>
    <x v="0"/>
    <x v="0"/>
    <x v="1"/>
    <x v="1"/>
    <x v="1"/>
    <x v="752"/>
    <x v="0"/>
    <n v="26.103000000000002"/>
    <n v="548.16300000000001"/>
    <x v="87"/>
    <x v="457"/>
    <x v="2"/>
    <n v="522.05999999999995"/>
    <n v="4.7619047620000003"/>
    <n v="26.103000000000002"/>
    <n v="9"/>
  </r>
  <r>
    <s v="886-77-9084"/>
    <x v="1"/>
    <x v="1"/>
    <x v="1"/>
    <x v="1"/>
    <x v="1"/>
    <x v="753"/>
    <x v="2"/>
    <n v="28.756"/>
    <n v="603.87599999999998"/>
    <x v="88"/>
    <x v="458"/>
    <x v="0"/>
    <n v="575.12"/>
    <n v="4.7619047620000003"/>
    <n v="28.756"/>
    <n v="5.5"/>
  </r>
  <r>
    <s v="790-38-4466"/>
    <x v="1"/>
    <x v="1"/>
    <x v="1"/>
    <x v="0"/>
    <x v="0"/>
    <x v="754"/>
    <x v="1"/>
    <n v="2.7475000000000001"/>
    <n v="57.697499999999998"/>
    <x v="54"/>
    <x v="392"/>
    <x v="2"/>
    <n v="54.95"/>
    <n v="4.7619047620000003"/>
    <n v="2.7475000000000001"/>
    <n v="9.3000000000000007"/>
  </r>
  <r>
    <s v="704-10-4056"/>
    <x v="1"/>
    <x v="1"/>
    <x v="0"/>
    <x v="1"/>
    <x v="0"/>
    <x v="755"/>
    <x v="6"/>
    <n v="9.0704999999999991"/>
    <n v="190.48050000000001"/>
    <x v="78"/>
    <x v="60"/>
    <x v="2"/>
    <n v="181.41"/>
    <n v="4.7619047620000003"/>
    <n v="9.0704999999999991"/>
    <n v="5.6"/>
  </r>
  <r>
    <s v="497-37-6538"/>
    <x v="0"/>
    <x v="0"/>
    <x v="1"/>
    <x v="1"/>
    <x v="3"/>
    <x v="756"/>
    <x v="0"/>
    <n v="20.618500000000001"/>
    <n v="432.98849999999999"/>
    <x v="29"/>
    <x v="459"/>
    <x v="0"/>
    <n v="412.37"/>
    <n v="4.7619047620000003"/>
    <n v="20.618500000000001"/>
    <n v="9.6999999999999993"/>
  </r>
  <r>
    <s v="651-96-5970"/>
    <x v="0"/>
    <x v="0"/>
    <x v="1"/>
    <x v="1"/>
    <x v="5"/>
    <x v="757"/>
    <x v="8"/>
    <n v="2.3205"/>
    <n v="48.730499999999999"/>
    <x v="2"/>
    <x v="460"/>
    <x v="2"/>
    <n v="46.41"/>
    <n v="4.7619047620000003"/>
    <n v="2.3205"/>
    <n v="4"/>
  </r>
  <r>
    <s v="400-80-4065"/>
    <x v="1"/>
    <x v="1"/>
    <x v="0"/>
    <x v="1"/>
    <x v="0"/>
    <x v="758"/>
    <x v="7"/>
    <n v="13.71"/>
    <n v="287.91000000000003"/>
    <x v="42"/>
    <x v="277"/>
    <x v="2"/>
    <n v="274.2"/>
    <n v="4.7619047620000003"/>
    <n v="13.71"/>
    <n v="9.1999999999999993"/>
  </r>
  <r>
    <s v="744-16-7898"/>
    <x v="2"/>
    <x v="2"/>
    <x v="1"/>
    <x v="0"/>
    <x v="2"/>
    <x v="759"/>
    <x v="4"/>
    <n v="48.685000000000002"/>
    <n v="1022.385"/>
    <x v="15"/>
    <x v="128"/>
    <x v="2"/>
    <n v="973.7"/>
    <n v="4.7619047620000003"/>
    <n v="48.685000000000002"/>
    <n v="4.9000000000000004"/>
  </r>
  <r>
    <s v="263-12-5321"/>
    <x v="0"/>
    <x v="0"/>
    <x v="0"/>
    <x v="1"/>
    <x v="1"/>
    <x v="760"/>
    <x v="0"/>
    <n v="32.409999999999997"/>
    <n v="680.61"/>
    <x v="33"/>
    <x v="299"/>
    <x v="2"/>
    <n v="648.20000000000005"/>
    <n v="4.7619047620000003"/>
    <n v="32.409999999999997"/>
    <n v="9.3000000000000007"/>
  </r>
  <r>
    <s v="702-72-0487"/>
    <x v="0"/>
    <x v="0"/>
    <x v="1"/>
    <x v="0"/>
    <x v="1"/>
    <x v="761"/>
    <x v="5"/>
    <n v="4.6609999999999996"/>
    <n v="97.881"/>
    <x v="84"/>
    <x v="35"/>
    <x v="2"/>
    <n v="93.22"/>
    <n v="4.7619047620000003"/>
    <n v="4.6609999999999996"/>
    <n v="6.6"/>
  </r>
  <r>
    <s v="605-83-1050"/>
    <x v="2"/>
    <x v="2"/>
    <x v="1"/>
    <x v="1"/>
    <x v="5"/>
    <x v="762"/>
    <x v="5"/>
    <n v="2.718"/>
    <n v="57.078000000000003"/>
    <x v="20"/>
    <x v="461"/>
    <x v="0"/>
    <n v="54.36"/>
    <n v="4.7619047620000003"/>
    <n v="2.718"/>
    <n v="4.3"/>
  </r>
  <r>
    <s v="443-60-9639"/>
    <x v="1"/>
    <x v="1"/>
    <x v="0"/>
    <x v="0"/>
    <x v="2"/>
    <x v="609"/>
    <x v="8"/>
    <n v="3.0434999999999999"/>
    <n v="63.913499999999999"/>
    <x v="46"/>
    <x v="38"/>
    <x v="1"/>
    <n v="60.87"/>
    <n v="4.7619047620000003"/>
    <n v="3.0434999999999999"/>
    <n v="5.5"/>
  </r>
  <r>
    <s v="864-24-7918"/>
    <x v="0"/>
    <x v="0"/>
    <x v="0"/>
    <x v="0"/>
    <x v="3"/>
    <x v="763"/>
    <x v="4"/>
    <n v="12.244999999999999"/>
    <n v="257.14499999999998"/>
    <x v="70"/>
    <x v="459"/>
    <x v="1"/>
    <n v="244.9"/>
    <n v="4.7619047620000003"/>
    <n v="12.244999999999999"/>
    <n v="8.1"/>
  </r>
  <r>
    <s v="359-94-5395"/>
    <x v="2"/>
    <x v="2"/>
    <x v="1"/>
    <x v="1"/>
    <x v="0"/>
    <x v="764"/>
    <x v="8"/>
    <n v="4.6390000000000002"/>
    <n v="97.418999999999997"/>
    <x v="20"/>
    <x v="155"/>
    <x v="2"/>
    <n v="92.78"/>
    <n v="4.7619047620000003"/>
    <n v="4.6390000000000002"/>
    <n v="9.8000000000000007"/>
  </r>
  <r>
    <s v="401-09-4232"/>
    <x v="1"/>
    <x v="1"/>
    <x v="0"/>
    <x v="1"/>
    <x v="2"/>
    <x v="765"/>
    <x v="1"/>
    <n v="21.672499999999999"/>
    <n v="455.1225"/>
    <x v="48"/>
    <x v="462"/>
    <x v="0"/>
    <n v="433.45"/>
    <n v="4.7619047620000003"/>
    <n v="21.672499999999999"/>
    <n v="9.4"/>
  </r>
  <r>
    <s v="751-15-6198"/>
    <x v="2"/>
    <x v="2"/>
    <x v="1"/>
    <x v="1"/>
    <x v="3"/>
    <x v="766"/>
    <x v="3"/>
    <n v="6.9029999999999996"/>
    <n v="144.96299999999999"/>
    <x v="52"/>
    <x v="463"/>
    <x v="0"/>
    <n v="138.06"/>
    <n v="4.7619047620000003"/>
    <n v="6.9029999999999996"/>
    <n v="7.9"/>
  </r>
  <r>
    <s v="324-41-6833"/>
    <x v="1"/>
    <x v="1"/>
    <x v="0"/>
    <x v="0"/>
    <x v="1"/>
    <x v="767"/>
    <x v="2"/>
    <n v="12.08"/>
    <n v="253.68"/>
    <x v="2"/>
    <x v="171"/>
    <x v="0"/>
    <n v="241.6"/>
    <n v="4.7619047620000003"/>
    <n v="12.08"/>
    <n v="5.0999999999999996"/>
  </r>
  <r>
    <s v="474-33-8305"/>
    <x v="1"/>
    <x v="1"/>
    <x v="0"/>
    <x v="1"/>
    <x v="5"/>
    <x v="768"/>
    <x v="0"/>
    <n v="23.586500000000001"/>
    <n v="495.31650000000002"/>
    <x v="28"/>
    <x v="2"/>
    <x v="0"/>
    <n v="471.73"/>
    <n v="4.7619047620000003"/>
    <n v="23.586500000000001"/>
    <n v="6.9"/>
  </r>
  <r>
    <s v="759-29-9521"/>
    <x v="0"/>
    <x v="0"/>
    <x v="0"/>
    <x v="0"/>
    <x v="5"/>
    <x v="769"/>
    <x v="9"/>
    <n v="22.032"/>
    <n v="462.67200000000003"/>
    <x v="31"/>
    <x v="94"/>
    <x v="1"/>
    <n v="440.64"/>
    <n v="4.7619047620000003"/>
    <n v="22.032"/>
    <n v="8"/>
  </r>
  <r>
    <s v="831-81-6575"/>
    <x v="2"/>
    <x v="2"/>
    <x v="0"/>
    <x v="0"/>
    <x v="1"/>
    <x v="770"/>
    <x v="9"/>
    <n v="34.015500000000003"/>
    <n v="714.32550000000003"/>
    <x v="55"/>
    <x v="289"/>
    <x v="1"/>
    <n v="680.31"/>
    <n v="4.7619047620000003"/>
    <n v="34.015500000000003"/>
    <n v="8"/>
  </r>
  <r>
    <s v="220-68-6701"/>
    <x v="0"/>
    <x v="0"/>
    <x v="1"/>
    <x v="0"/>
    <x v="2"/>
    <x v="771"/>
    <x v="7"/>
    <n v="15.494"/>
    <n v="325.37400000000002"/>
    <x v="85"/>
    <x v="345"/>
    <x v="1"/>
    <n v="309.88"/>
    <n v="4.7619047620000003"/>
    <n v="15.494"/>
    <n v="4.2"/>
  </r>
  <r>
    <s v="618-34-8551"/>
    <x v="0"/>
    <x v="0"/>
    <x v="1"/>
    <x v="0"/>
    <x v="3"/>
    <x v="772"/>
    <x v="5"/>
    <n v="9.3179999999999996"/>
    <n v="195.678"/>
    <x v="65"/>
    <x v="464"/>
    <x v="2"/>
    <n v="186.36"/>
    <n v="4.7619047620000003"/>
    <n v="9.3179999999999996"/>
    <n v="8.5"/>
  </r>
  <r>
    <s v="257-60-7754"/>
    <x v="0"/>
    <x v="0"/>
    <x v="1"/>
    <x v="0"/>
    <x v="1"/>
    <x v="773"/>
    <x v="7"/>
    <n v="10.045999999999999"/>
    <n v="210.96600000000001"/>
    <x v="66"/>
    <x v="465"/>
    <x v="1"/>
    <n v="200.92"/>
    <n v="4.7619047620000003"/>
    <n v="10.045999999999999"/>
    <n v="9"/>
  </r>
  <r>
    <s v="559-61-5987"/>
    <x v="2"/>
    <x v="2"/>
    <x v="1"/>
    <x v="0"/>
    <x v="0"/>
    <x v="774"/>
    <x v="8"/>
    <n v="0.88749999999999996"/>
    <n v="18.637499999999999"/>
    <x v="78"/>
    <x v="440"/>
    <x v="1"/>
    <n v="17.75"/>
    <n v="4.7619047620000003"/>
    <n v="0.88749999999999996"/>
    <n v="8.6"/>
  </r>
  <r>
    <s v="189-55-2313"/>
    <x v="1"/>
    <x v="1"/>
    <x v="1"/>
    <x v="0"/>
    <x v="5"/>
    <x v="775"/>
    <x v="4"/>
    <n v="31.09"/>
    <n v="652.89"/>
    <x v="82"/>
    <x v="373"/>
    <x v="0"/>
    <n v="621.79999999999995"/>
    <n v="4.7619047620000003"/>
    <n v="31.09"/>
    <n v="6"/>
  </r>
  <r>
    <s v="565-91-4567"/>
    <x v="2"/>
    <x v="2"/>
    <x v="1"/>
    <x v="1"/>
    <x v="0"/>
    <x v="776"/>
    <x v="2"/>
    <n v="4.3"/>
    <n v="90.3"/>
    <x v="20"/>
    <x v="242"/>
    <x v="0"/>
    <n v="86"/>
    <n v="4.7619047620000003"/>
    <n v="4.3"/>
    <n v="6.2"/>
  </r>
  <r>
    <s v="380-60-5336"/>
    <x v="0"/>
    <x v="0"/>
    <x v="1"/>
    <x v="0"/>
    <x v="1"/>
    <x v="777"/>
    <x v="4"/>
    <n v="20.13"/>
    <n v="422.73"/>
    <x v="7"/>
    <x v="191"/>
    <x v="2"/>
    <n v="402.6"/>
    <n v="4.7619047620000003"/>
    <n v="20.13"/>
    <n v="5"/>
  </r>
  <r>
    <s v="815-04-6282"/>
    <x v="1"/>
    <x v="1"/>
    <x v="0"/>
    <x v="0"/>
    <x v="3"/>
    <x v="778"/>
    <x v="1"/>
    <n v="16.2425"/>
    <n v="341.09249999999997"/>
    <x v="4"/>
    <x v="299"/>
    <x v="2"/>
    <n v="324.85000000000002"/>
    <n v="4.7619047620000003"/>
    <n v="16.2425"/>
    <n v="6.5"/>
  </r>
  <r>
    <s v="674-56-6360"/>
    <x v="0"/>
    <x v="0"/>
    <x v="1"/>
    <x v="1"/>
    <x v="1"/>
    <x v="779"/>
    <x v="8"/>
    <n v="4.7575000000000003"/>
    <n v="99.907499999999999"/>
    <x v="23"/>
    <x v="466"/>
    <x v="1"/>
    <n v="95.15"/>
    <n v="4.7619047620000003"/>
    <n v="4.7575000000000003"/>
    <n v="6"/>
  </r>
  <r>
    <s v="778-34-2523"/>
    <x v="0"/>
    <x v="0"/>
    <x v="0"/>
    <x v="0"/>
    <x v="1"/>
    <x v="780"/>
    <x v="2"/>
    <n v="19.448"/>
    <n v="408.40800000000002"/>
    <x v="46"/>
    <x v="315"/>
    <x v="1"/>
    <n v="388.96"/>
    <n v="4.7619047620000003"/>
    <n v="19.448"/>
    <n v="5"/>
  </r>
  <r>
    <s v="499-27-7781"/>
    <x v="2"/>
    <x v="2"/>
    <x v="1"/>
    <x v="0"/>
    <x v="4"/>
    <x v="781"/>
    <x v="2"/>
    <n v="21.283999999999999"/>
    <n v="446.964"/>
    <x v="86"/>
    <x v="463"/>
    <x v="0"/>
    <n v="425.68"/>
    <n v="4.7619047620000003"/>
    <n v="21.283999999999999"/>
    <n v="5"/>
  </r>
  <r>
    <s v="477-59-2456"/>
    <x v="1"/>
    <x v="1"/>
    <x v="1"/>
    <x v="0"/>
    <x v="5"/>
    <x v="782"/>
    <x v="0"/>
    <n v="15.904"/>
    <n v="333.98399999999998"/>
    <x v="54"/>
    <x v="23"/>
    <x v="1"/>
    <n v="318.08"/>
    <n v="4.7619047620000003"/>
    <n v="15.904"/>
    <n v="9.1999999999999993"/>
  </r>
  <r>
    <s v="832-51-6761"/>
    <x v="0"/>
    <x v="0"/>
    <x v="1"/>
    <x v="1"/>
    <x v="4"/>
    <x v="783"/>
    <x v="2"/>
    <n v="13.552"/>
    <n v="284.59199999999998"/>
    <x v="64"/>
    <x v="245"/>
    <x v="0"/>
    <n v="271.04000000000002"/>
    <n v="4.7619047620000003"/>
    <n v="13.552"/>
    <n v="9.6"/>
  </r>
  <r>
    <s v="869-11-3082"/>
    <x v="2"/>
    <x v="2"/>
    <x v="0"/>
    <x v="1"/>
    <x v="0"/>
    <x v="784"/>
    <x v="7"/>
    <n v="19.231999999999999"/>
    <n v="403.87200000000001"/>
    <x v="3"/>
    <x v="356"/>
    <x v="2"/>
    <n v="384.64"/>
    <n v="4.7619047620000003"/>
    <n v="19.231999999999999"/>
    <n v="8.4"/>
  </r>
  <r>
    <s v="190-59-3964"/>
    <x v="2"/>
    <x v="2"/>
    <x v="0"/>
    <x v="1"/>
    <x v="4"/>
    <x v="785"/>
    <x v="1"/>
    <n v="11.79"/>
    <n v="247.59"/>
    <x v="36"/>
    <x v="63"/>
    <x v="2"/>
    <n v="235.8"/>
    <n v="4.7619047620000003"/>
    <n v="11.79"/>
    <n v="6"/>
  </r>
  <r>
    <s v="366-43-6862"/>
    <x v="2"/>
    <x v="2"/>
    <x v="1"/>
    <x v="1"/>
    <x v="1"/>
    <x v="171"/>
    <x v="7"/>
    <n v="10.577999999999999"/>
    <n v="222.13800000000001"/>
    <x v="5"/>
    <x v="467"/>
    <x v="0"/>
    <n v="211.56"/>
    <n v="4.7619047620000003"/>
    <n v="10.577999999999999"/>
    <n v="6.7"/>
  </r>
  <r>
    <s v="186-43-8965"/>
    <x v="0"/>
    <x v="0"/>
    <x v="0"/>
    <x v="0"/>
    <x v="2"/>
    <x v="786"/>
    <x v="5"/>
    <n v="4.7679999999999998"/>
    <n v="100.128"/>
    <x v="7"/>
    <x v="468"/>
    <x v="2"/>
    <n v="95.36"/>
    <n v="4.7619047620000003"/>
    <n v="4.7679999999999998"/>
    <n v="4.0999999999999996"/>
  </r>
  <r>
    <s v="784-21-9238"/>
    <x v="1"/>
    <x v="1"/>
    <x v="0"/>
    <x v="1"/>
    <x v="3"/>
    <x v="787"/>
    <x v="8"/>
    <n v="0.50849999999999995"/>
    <n v="10.6785"/>
    <x v="13"/>
    <x v="331"/>
    <x v="1"/>
    <n v="10.17"/>
    <n v="4.7619047620000003"/>
    <n v="0.50849999999999995"/>
    <n v="5.9"/>
  </r>
  <r>
    <s v="276-75-6884"/>
    <x v="0"/>
    <x v="0"/>
    <x v="1"/>
    <x v="0"/>
    <x v="0"/>
    <x v="399"/>
    <x v="6"/>
    <n v="10.3065"/>
    <n v="216.4365"/>
    <x v="31"/>
    <x v="469"/>
    <x v="1"/>
    <n v="206.13"/>
    <n v="4.7619047620000003"/>
    <n v="10.3065"/>
    <n v="8.6999999999999993"/>
  </r>
  <r>
    <s v="109-86-4363"/>
    <x v="2"/>
    <x v="2"/>
    <x v="0"/>
    <x v="0"/>
    <x v="3"/>
    <x v="788"/>
    <x v="0"/>
    <n v="21.027999999999999"/>
    <n v="441.58800000000002"/>
    <x v="44"/>
    <x v="150"/>
    <x v="2"/>
    <n v="420.56"/>
    <n v="4.7619047620000003"/>
    <n v="21.027999999999999"/>
    <n v="4.5"/>
  </r>
  <r>
    <s v="569-76-2760"/>
    <x v="0"/>
    <x v="0"/>
    <x v="0"/>
    <x v="0"/>
    <x v="3"/>
    <x v="442"/>
    <x v="7"/>
    <n v="4.4020000000000001"/>
    <n v="92.441999999999993"/>
    <x v="71"/>
    <x v="470"/>
    <x v="2"/>
    <n v="88.04"/>
    <n v="4.7619047620000003"/>
    <n v="4.4020000000000001"/>
    <n v="6.6"/>
  </r>
  <r>
    <s v="222-42-0244"/>
    <x v="2"/>
    <x v="2"/>
    <x v="0"/>
    <x v="0"/>
    <x v="0"/>
    <x v="789"/>
    <x v="9"/>
    <n v="32.4495"/>
    <n v="681.43949999999995"/>
    <x v="26"/>
    <x v="318"/>
    <x v="2"/>
    <n v="648.99"/>
    <n v="4.7619047620000003"/>
    <n v="32.4495"/>
    <n v="7.7"/>
  </r>
  <r>
    <s v="760-53-9233"/>
    <x v="0"/>
    <x v="0"/>
    <x v="0"/>
    <x v="1"/>
    <x v="5"/>
    <x v="790"/>
    <x v="6"/>
    <n v="6.1920000000000002"/>
    <n v="130.03200000000001"/>
    <x v="58"/>
    <x v="78"/>
    <x v="2"/>
    <n v="123.84"/>
    <n v="4.7619047620000003"/>
    <n v="6.1920000000000002"/>
    <n v="8.5"/>
  </r>
  <r>
    <s v="538-22-0304"/>
    <x v="1"/>
    <x v="1"/>
    <x v="1"/>
    <x v="1"/>
    <x v="1"/>
    <x v="791"/>
    <x v="4"/>
    <n v="32.475000000000001"/>
    <n v="681.97500000000002"/>
    <x v="62"/>
    <x v="185"/>
    <x v="1"/>
    <n v="649.5"/>
    <n v="4.7619047620000003"/>
    <n v="32.475000000000001"/>
    <n v="5.2"/>
  </r>
  <r>
    <s v="416-17-9926"/>
    <x v="0"/>
    <x v="0"/>
    <x v="0"/>
    <x v="0"/>
    <x v="1"/>
    <x v="792"/>
    <x v="4"/>
    <n v="37.11"/>
    <n v="779.31"/>
    <x v="17"/>
    <x v="51"/>
    <x v="2"/>
    <n v="742.2"/>
    <n v="4.7619047620000003"/>
    <n v="37.11"/>
    <n v="4.3"/>
  </r>
  <r>
    <s v="237-44-6163"/>
    <x v="0"/>
    <x v="0"/>
    <x v="1"/>
    <x v="1"/>
    <x v="1"/>
    <x v="793"/>
    <x v="2"/>
    <n v="4.2240000000000002"/>
    <n v="88.703999999999994"/>
    <x v="46"/>
    <x v="255"/>
    <x v="1"/>
    <n v="84.48"/>
    <n v="4.7619047620000003"/>
    <n v="4.2240000000000002"/>
    <n v="7.6"/>
  </r>
  <r>
    <s v="636-17-0325"/>
    <x v="2"/>
    <x v="2"/>
    <x v="1"/>
    <x v="1"/>
    <x v="0"/>
    <x v="794"/>
    <x v="7"/>
    <n v="12.513999999999999"/>
    <n v="262.79399999999998"/>
    <x v="6"/>
    <x v="78"/>
    <x v="1"/>
    <n v="250.28"/>
    <n v="4.7619047620000003"/>
    <n v="12.513999999999999"/>
    <n v="9.5"/>
  </r>
  <r>
    <s v="343-75-9322"/>
    <x v="2"/>
    <x v="2"/>
    <x v="0"/>
    <x v="0"/>
    <x v="3"/>
    <x v="795"/>
    <x v="2"/>
    <n v="4.74"/>
    <n v="99.54"/>
    <x v="51"/>
    <x v="414"/>
    <x v="1"/>
    <n v="94.8"/>
    <n v="4.7619047620000003"/>
    <n v="4.74"/>
    <n v="4.0999999999999996"/>
  </r>
  <r>
    <s v="528-14-9470"/>
    <x v="0"/>
    <x v="0"/>
    <x v="0"/>
    <x v="1"/>
    <x v="0"/>
    <x v="796"/>
    <x v="8"/>
    <n v="4.5650000000000004"/>
    <n v="95.864999999999995"/>
    <x v="44"/>
    <x v="51"/>
    <x v="0"/>
    <n v="91.3"/>
    <n v="4.7619047620000003"/>
    <n v="4.5650000000000004"/>
    <n v="9.1999999999999993"/>
  </r>
  <r>
    <s v="427-45-9297"/>
    <x v="2"/>
    <x v="2"/>
    <x v="0"/>
    <x v="0"/>
    <x v="2"/>
    <x v="797"/>
    <x v="0"/>
    <n v="14.2555"/>
    <n v="299.3655"/>
    <x v="41"/>
    <x v="471"/>
    <x v="0"/>
    <n v="285.11"/>
    <n v="4.7619047620000003"/>
    <n v="14.2555"/>
    <n v="5.4"/>
  </r>
  <r>
    <s v="807-34-3742"/>
    <x v="0"/>
    <x v="0"/>
    <x v="1"/>
    <x v="1"/>
    <x v="5"/>
    <x v="798"/>
    <x v="8"/>
    <n v="2.6190000000000002"/>
    <n v="54.999000000000002"/>
    <x v="58"/>
    <x v="143"/>
    <x v="1"/>
    <n v="52.38"/>
    <n v="4.7619047620000003"/>
    <n v="2.6190000000000002"/>
    <n v="5.8"/>
  </r>
  <r>
    <s v="288-62-1085"/>
    <x v="0"/>
    <x v="0"/>
    <x v="0"/>
    <x v="1"/>
    <x v="5"/>
    <x v="799"/>
    <x v="1"/>
    <n v="9.6349999999999998"/>
    <n v="202.33500000000001"/>
    <x v="51"/>
    <x v="229"/>
    <x v="0"/>
    <n v="192.7"/>
    <n v="4.7619047620000003"/>
    <n v="9.6349999999999998"/>
    <n v="5.6"/>
  </r>
  <r>
    <s v="670-71-7306"/>
    <x v="2"/>
    <x v="2"/>
    <x v="1"/>
    <x v="1"/>
    <x v="3"/>
    <x v="800"/>
    <x v="3"/>
    <n v="13.388999999999999"/>
    <n v="281.16899999999998"/>
    <x v="56"/>
    <x v="390"/>
    <x v="2"/>
    <n v="267.77999999999997"/>
    <n v="4.7619047620000003"/>
    <n v="13.388999999999999"/>
    <n v="5.0999999999999996"/>
  </r>
  <r>
    <s v="660-29-7083"/>
    <x v="1"/>
    <x v="1"/>
    <x v="1"/>
    <x v="1"/>
    <x v="1"/>
    <x v="801"/>
    <x v="4"/>
    <n v="27.934999999999999"/>
    <n v="586.63499999999999"/>
    <x v="15"/>
    <x v="66"/>
    <x v="1"/>
    <n v="558.70000000000005"/>
    <n v="4.7619047620000003"/>
    <n v="27.934999999999999"/>
    <n v="5.8"/>
  </r>
  <r>
    <s v="271-77-8740"/>
    <x v="1"/>
    <x v="1"/>
    <x v="0"/>
    <x v="0"/>
    <x v="3"/>
    <x v="802"/>
    <x v="3"/>
    <n v="8.766"/>
    <n v="184.08600000000001"/>
    <x v="17"/>
    <x v="335"/>
    <x v="0"/>
    <n v="175.32"/>
    <n v="4.7619047620000003"/>
    <n v="8.766"/>
    <n v="5"/>
  </r>
  <r>
    <s v="497-36-0989"/>
    <x v="0"/>
    <x v="0"/>
    <x v="1"/>
    <x v="1"/>
    <x v="5"/>
    <x v="232"/>
    <x v="6"/>
    <n v="7.7910000000000004"/>
    <n v="163.61099999999999"/>
    <x v="42"/>
    <x v="472"/>
    <x v="1"/>
    <n v="155.82"/>
    <n v="4.7619047620000003"/>
    <n v="7.7910000000000004"/>
    <n v="7.9"/>
  </r>
  <r>
    <s v="291-59-1384"/>
    <x v="2"/>
    <x v="2"/>
    <x v="1"/>
    <x v="1"/>
    <x v="1"/>
    <x v="562"/>
    <x v="8"/>
    <n v="3.0150000000000001"/>
    <n v="63.314999999999998"/>
    <x v="38"/>
    <x v="180"/>
    <x v="1"/>
    <n v="60.3"/>
    <n v="4.7619047620000003"/>
    <n v="3.0150000000000001"/>
    <n v="6"/>
  </r>
  <r>
    <s v="860-73-6466"/>
    <x v="0"/>
    <x v="0"/>
    <x v="0"/>
    <x v="0"/>
    <x v="3"/>
    <x v="803"/>
    <x v="5"/>
    <n v="3.9470000000000001"/>
    <n v="82.887"/>
    <x v="22"/>
    <x v="473"/>
    <x v="2"/>
    <n v="78.94"/>
    <n v="4.7619047620000003"/>
    <n v="3.9470000000000001"/>
    <n v="5"/>
  </r>
  <r>
    <s v="549-23-9016"/>
    <x v="1"/>
    <x v="1"/>
    <x v="0"/>
    <x v="0"/>
    <x v="4"/>
    <x v="804"/>
    <x v="5"/>
    <n v="1.4870000000000001"/>
    <n v="31.227"/>
    <x v="77"/>
    <x v="470"/>
    <x v="2"/>
    <n v="29.74"/>
    <n v="4.7619047620000003"/>
    <n v="1.4870000000000001"/>
    <n v="8.9"/>
  </r>
  <r>
    <s v="896-34-0956"/>
    <x v="0"/>
    <x v="0"/>
    <x v="1"/>
    <x v="1"/>
    <x v="5"/>
    <x v="805"/>
    <x v="8"/>
    <n v="1.0660000000000001"/>
    <n v="22.385999999999999"/>
    <x v="53"/>
    <x v="31"/>
    <x v="1"/>
    <n v="21.32"/>
    <n v="4.7619047620000003"/>
    <n v="1.0660000000000001"/>
    <n v="5.9"/>
  </r>
  <r>
    <s v="804-38-3935"/>
    <x v="0"/>
    <x v="0"/>
    <x v="0"/>
    <x v="1"/>
    <x v="1"/>
    <x v="806"/>
    <x v="6"/>
    <n v="14.067"/>
    <n v="295.40699999999998"/>
    <x v="74"/>
    <x v="102"/>
    <x v="2"/>
    <n v="281.33999999999997"/>
    <n v="4.7619047620000003"/>
    <n v="14.067"/>
    <n v="5.9"/>
  </r>
  <r>
    <s v="585-90-0249"/>
    <x v="0"/>
    <x v="0"/>
    <x v="0"/>
    <x v="1"/>
    <x v="1"/>
    <x v="807"/>
    <x v="8"/>
    <n v="3.6629999999999998"/>
    <n v="76.923000000000002"/>
    <x v="3"/>
    <x v="182"/>
    <x v="0"/>
    <n v="73.260000000000005"/>
    <n v="4.7619047620000003"/>
    <n v="3.6629999999999998"/>
    <n v="9.6999999999999993"/>
  </r>
  <r>
    <s v="862-29-5914"/>
    <x v="1"/>
    <x v="1"/>
    <x v="1"/>
    <x v="0"/>
    <x v="3"/>
    <x v="808"/>
    <x v="8"/>
    <n v="1.119"/>
    <n v="23.498999999999999"/>
    <x v="74"/>
    <x v="48"/>
    <x v="2"/>
    <n v="22.38"/>
    <n v="4.7619047620000003"/>
    <n v="1.119"/>
    <n v="8.6"/>
  </r>
  <r>
    <s v="845-94-6841"/>
    <x v="1"/>
    <x v="1"/>
    <x v="0"/>
    <x v="0"/>
    <x v="4"/>
    <x v="665"/>
    <x v="9"/>
    <n v="32.795999999999999"/>
    <n v="688.71600000000001"/>
    <x v="66"/>
    <x v="371"/>
    <x v="1"/>
    <n v="655.92"/>
    <n v="4.7619047620000003"/>
    <n v="32.795999999999999"/>
    <n v="4"/>
  </r>
  <r>
    <s v="125-45-2293"/>
    <x v="0"/>
    <x v="0"/>
    <x v="1"/>
    <x v="0"/>
    <x v="5"/>
    <x v="809"/>
    <x v="3"/>
    <n v="29.73"/>
    <n v="624.33000000000004"/>
    <x v="64"/>
    <x v="90"/>
    <x v="1"/>
    <n v="594.6"/>
    <n v="4.7619047620000003"/>
    <n v="29.73"/>
    <n v="4.2"/>
  </r>
  <r>
    <s v="843-73-4724"/>
    <x v="0"/>
    <x v="0"/>
    <x v="1"/>
    <x v="1"/>
    <x v="5"/>
    <x v="810"/>
    <x v="8"/>
    <n v="3.7050000000000001"/>
    <n v="77.805000000000007"/>
    <x v="25"/>
    <x v="474"/>
    <x v="1"/>
    <n v="74.099999999999994"/>
    <n v="4.7619047620000003"/>
    <n v="3.7050000000000001"/>
    <n v="9.1999999999999993"/>
  </r>
  <r>
    <s v="409-33-9708"/>
    <x v="0"/>
    <x v="0"/>
    <x v="1"/>
    <x v="0"/>
    <x v="5"/>
    <x v="811"/>
    <x v="5"/>
    <n v="9.8480000000000008"/>
    <n v="206.80799999999999"/>
    <x v="88"/>
    <x v="33"/>
    <x v="0"/>
    <n v="196.96"/>
    <n v="4.7619047620000003"/>
    <n v="9.8480000000000008"/>
    <n v="9.1999999999999993"/>
  </r>
  <r>
    <s v="658-66-3967"/>
    <x v="1"/>
    <x v="1"/>
    <x v="1"/>
    <x v="1"/>
    <x v="0"/>
    <x v="812"/>
    <x v="0"/>
    <n v="18.616499999999998"/>
    <n v="390.94650000000001"/>
    <x v="78"/>
    <x v="324"/>
    <x v="0"/>
    <n v="372.33"/>
    <n v="4.7619047620000003"/>
    <n v="18.616499999999998"/>
    <n v="5"/>
  </r>
  <r>
    <s v="866-70-2814"/>
    <x v="2"/>
    <x v="2"/>
    <x v="1"/>
    <x v="0"/>
    <x v="1"/>
    <x v="813"/>
    <x v="4"/>
    <n v="26.395"/>
    <n v="554.29499999999996"/>
    <x v="6"/>
    <x v="452"/>
    <x v="0"/>
    <n v="527.9"/>
    <n v="4.7619047620000003"/>
    <n v="26.395"/>
    <n v="10"/>
  </r>
  <r>
    <s v="160-22-2687"/>
    <x v="0"/>
    <x v="0"/>
    <x v="0"/>
    <x v="0"/>
    <x v="0"/>
    <x v="814"/>
    <x v="1"/>
    <n v="23.987500000000001"/>
    <n v="503.73750000000001"/>
    <x v="54"/>
    <x v="239"/>
    <x v="0"/>
    <n v="479.75"/>
    <n v="4.7619047620000003"/>
    <n v="23.987500000000001"/>
    <n v="8.8000000000000007"/>
  </r>
  <r>
    <s v="895-03-6665"/>
    <x v="2"/>
    <x v="2"/>
    <x v="1"/>
    <x v="0"/>
    <x v="5"/>
    <x v="815"/>
    <x v="9"/>
    <n v="16.429500000000001"/>
    <n v="345.01949999999999"/>
    <x v="69"/>
    <x v="196"/>
    <x v="1"/>
    <n v="328.59"/>
    <n v="4.7619047620000003"/>
    <n v="16.429500000000001"/>
    <n v="4.2"/>
  </r>
  <r>
    <s v="770-42-8960"/>
    <x v="2"/>
    <x v="2"/>
    <x v="1"/>
    <x v="1"/>
    <x v="4"/>
    <x v="268"/>
    <x v="2"/>
    <n v="8.4480000000000004"/>
    <n v="177.40799999999999"/>
    <x v="17"/>
    <x v="475"/>
    <x v="1"/>
    <n v="168.96"/>
    <n v="4.7619047620000003"/>
    <n v="8.4480000000000004"/>
    <n v="6.3"/>
  </r>
  <r>
    <s v="748-45-2862"/>
    <x v="0"/>
    <x v="0"/>
    <x v="0"/>
    <x v="0"/>
    <x v="2"/>
    <x v="816"/>
    <x v="7"/>
    <n v="5.6619999999999999"/>
    <n v="118.902"/>
    <x v="37"/>
    <x v="476"/>
    <x v="1"/>
    <n v="113.24"/>
    <n v="4.7619047620000003"/>
    <n v="5.6619999999999999"/>
    <n v="8.1999999999999993"/>
  </r>
  <r>
    <s v="234-36-2483"/>
    <x v="2"/>
    <x v="2"/>
    <x v="1"/>
    <x v="1"/>
    <x v="0"/>
    <x v="817"/>
    <x v="3"/>
    <n v="17.277000000000001"/>
    <n v="362.81700000000001"/>
    <x v="42"/>
    <x v="477"/>
    <x v="1"/>
    <n v="345.54"/>
    <n v="4.7619047620000003"/>
    <n v="17.277000000000001"/>
    <n v="5.0999999999999996"/>
  </r>
  <r>
    <s v="316-66-3011"/>
    <x v="0"/>
    <x v="0"/>
    <x v="0"/>
    <x v="0"/>
    <x v="4"/>
    <x v="818"/>
    <x v="9"/>
    <n v="21.433499999999999"/>
    <n v="450.1035"/>
    <x v="54"/>
    <x v="478"/>
    <x v="1"/>
    <n v="428.67"/>
    <n v="4.7619047620000003"/>
    <n v="21.433499999999999"/>
    <n v="5"/>
  </r>
  <r>
    <s v="848-95-6252"/>
    <x v="1"/>
    <x v="1"/>
    <x v="0"/>
    <x v="0"/>
    <x v="2"/>
    <x v="819"/>
    <x v="8"/>
    <n v="4.3135000000000003"/>
    <n v="90.583500000000001"/>
    <x v="9"/>
    <x v="38"/>
    <x v="0"/>
    <n v="86.27"/>
    <n v="4.7619047620000003"/>
    <n v="4.3135000000000003"/>
    <n v="7"/>
  </r>
  <r>
    <s v="840-76-5966"/>
    <x v="0"/>
    <x v="0"/>
    <x v="0"/>
    <x v="1"/>
    <x v="3"/>
    <x v="820"/>
    <x v="5"/>
    <n v="1.276"/>
    <n v="26.795999999999999"/>
    <x v="66"/>
    <x v="191"/>
    <x v="0"/>
    <n v="25.52"/>
    <n v="4.7619047620000003"/>
    <n v="1.276"/>
    <n v="7.8"/>
  </r>
  <r>
    <s v="152-03-4217"/>
    <x v="2"/>
    <x v="2"/>
    <x v="1"/>
    <x v="0"/>
    <x v="2"/>
    <x v="821"/>
    <x v="9"/>
    <n v="5.0759999999999996"/>
    <n v="106.596"/>
    <x v="85"/>
    <x v="479"/>
    <x v="2"/>
    <n v="101.52"/>
    <n v="4.7619047620000003"/>
    <n v="5.0759999999999996"/>
    <n v="4.3"/>
  </r>
  <r>
    <s v="533-66-5566"/>
    <x v="2"/>
    <x v="2"/>
    <x v="1"/>
    <x v="0"/>
    <x v="2"/>
    <x v="822"/>
    <x v="0"/>
    <n v="17.874500000000001"/>
    <n v="375.36450000000002"/>
    <x v="52"/>
    <x v="437"/>
    <x v="1"/>
    <n v="357.49"/>
    <n v="4.7619047620000003"/>
    <n v="17.874500000000001"/>
    <n v="7"/>
  </r>
  <r>
    <s v="124-31-1458"/>
    <x v="0"/>
    <x v="0"/>
    <x v="0"/>
    <x v="0"/>
    <x v="1"/>
    <x v="823"/>
    <x v="6"/>
    <n v="11.938499999999999"/>
    <n v="250.70849999999999"/>
    <x v="66"/>
    <x v="101"/>
    <x v="1"/>
    <n v="238.77"/>
    <n v="4.7619047620000003"/>
    <n v="11.938499999999999"/>
    <n v="6.6"/>
  </r>
  <r>
    <s v="176-78-1170"/>
    <x v="1"/>
    <x v="1"/>
    <x v="0"/>
    <x v="1"/>
    <x v="0"/>
    <x v="824"/>
    <x v="6"/>
    <n v="5.0715000000000003"/>
    <n v="106.50149999999999"/>
    <x v="53"/>
    <x v="480"/>
    <x v="0"/>
    <n v="101.43"/>
    <n v="4.7619047620000003"/>
    <n v="5.0715000000000003"/>
    <n v="7.3"/>
  </r>
  <r>
    <s v="361-59-0574"/>
    <x v="2"/>
    <x v="2"/>
    <x v="0"/>
    <x v="1"/>
    <x v="3"/>
    <x v="825"/>
    <x v="2"/>
    <n v="36.212000000000003"/>
    <n v="760.452"/>
    <x v="20"/>
    <x v="481"/>
    <x v="2"/>
    <n v="724.24"/>
    <n v="4.7619047620000003"/>
    <n v="36.212000000000003"/>
    <n v="6.5"/>
  </r>
  <r>
    <s v="101-81-4070"/>
    <x v="1"/>
    <x v="1"/>
    <x v="0"/>
    <x v="0"/>
    <x v="0"/>
    <x v="826"/>
    <x v="5"/>
    <n v="6.282"/>
    <n v="131.922"/>
    <x v="29"/>
    <x v="482"/>
    <x v="0"/>
    <n v="125.64"/>
    <n v="4.7619047620000003"/>
    <n v="6.282"/>
    <n v="4.9000000000000004"/>
  </r>
  <r>
    <s v="631-34-1880"/>
    <x v="1"/>
    <x v="1"/>
    <x v="0"/>
    <x v="1"/>
    <x v="4"/>
    <x v="827"/>
    <x v="6"/>
    <n v="3.6465000000000001"/>
    <n v="76.576499999999996"/>
    <x v="66"/>
    <x v="268"/>
    <x v="2"/>
    <n v="72.930000000000007"/>
    <n v="4.7619047620000003"/>
    <n v="3.6465000000000001"/>
    <n v="4.3"/>
  </r>
  <r>
    <s v="852-82-2749"/>
    <x v="0"/>
    <x v="0"/>
    <x v="1"/>
    <x v="1"/>
    <x v="3"/>
    <x v="828"/>
    <x v="7"/>
    <n v="12.917999999999999"/>
    <n v="271.27800000000002"/>
    <x v="47"/>
    <x v="483"/>
    <x v="0"/>
    <n v="258.36"/>
    <n v="4.7619047620000003"/>
    <n v="12.917999999999999"/>
    <n v="9.3000000000000007"/>
  </r>
  <r>
    <s v="873-14-6353"/>
    <x v="0"/>
    <x v="0"/>
    <x v="0"/>
    <x v="1"/>
    <x v="4"/>
    <x v="829"/>
    <x v="0"/>
    <n v="8.6869999999999994"/>
    <n v="182.42699999999999"/>
    <x v="69"/>
    <x v="373"/>
    <x v="2"/>
    <n v="173.74"/>
    <n v="4.7619047620000003"/>
    <n v="8.6869999999999994"/>
    <n v="7.1"/>
  </r>
  <r>
    <s v="584-66-4073"/>
    <x v="1"/>
    <x v="1"/>
    <x v="1"/>
    <x v="1"/>
    <x v="5"/>
    <x v="830"/>
    <x v="8"/>
    <n v="2.8250000000000002"/>
    <n v="59.325000000000003"/>
    <x v="45"/>
    <x v="484"/>
    <x v="0"/>
    <n v="56.5"/>
    <n v="4.7619047620000003"/>
    <n v="2.8250000000000002"/>
    <n v="9.6"/>
  </r>
  <r>
    <s v="544-55-9589"/>
    <x v="2"/>
    <x v="2"/>
    <x v="0"/>
    <x v="0"/>
    <x v="1"/>
    <x v="831"/>
    <x v="4"/>
    <n v="10.715"/>
    <n v="225.01499999999999"/>
    <x v="26"/>
    <x v="159"/>
    <x v="1"/>
    <n v="214.3"/>
    <n v="4.7619047620000003"/>
    <n v="10.715"/>
    <n v="6.2"/>
  </r>
  <r>
    <s v="166-19-2553"/>
    <x v="0"/>
    <x v="0"/>
    <x v="0"/>
    <x v="1"/>
    <x v="3"/>
    <x v="832"/>
    <x v="3"/>
    <n v="26.718"/>
    <n v="561.07799999999997"/>
    <x v="68"/>
    <x v="111"/>
    <x v="1"/>
    <n v="534.36"/>
    <n v="4.7619047620000003"/>
    <n v="26.718"/>
    <n v="9.9"/>
  </r>
  <r>
    <s v="737-88-5876"/>
    <x v="0"/>
    <x v="0"/>
    <x v="0"/>
    <x v="1"/>
    <x v="2"/>
    <x v="833"/>
    <x v="7"/>
    <n v="4.6580000000000004"/>
    <n v="97.817999999999998"/>
    <x v="35"/>
    <x v="408"/>
    <x v="2"/>
    <n v="93.16"/>
    <n v="4.7619047620000003"/>
    <n v="4.6580000000000004"/>
    <n v="5.9"/>
  </r>
  <r>
    <s v="154-87-7367"/>
    <x v="1"/>
    <x v="1"/>
    <x v="1"/>
    <x v="1"/>
    <x v="2"/>
    <x v="834"/>
    <x v="2"/>
    <n v="26.103999999999999"/>
    <n v="548.18399999999997"/>
    <x v="20"/>
    <x v="214"/>
    <x v="0"/>
    <n v="522.08000000000004"/>
    <n v="4.7619047620000003"/>
    <n v="26.103999999999999"/>
    <n v="6.3"/>
  </r>
  <r>
    <s v="885-56-0389"/>
    <x v="1"/>
    <x v="1"/>
    <x v="0"/>
    <x v="1"/>
    <x v="5"/>
    <x v="835"/>
    <x v="8"/>
    <n v="2.6175000000000002"/>
    <n v="54.967500000000001"/>
    <x v="12"/>
    <x v="438"/>
    <x v="1"/>
    <n v="52.35"/>
    <n v="4.7619047620000003"/>
    <n v="2.6175000000000002"/>
    <n v="4"/>
  </r>
  <r>
    <s v="608-05-3804"/>
    <x v="2"/>
    <x v="2"/>
    <x v="0"/>
    <x v="1"/>
    <x v="1"/>
    <x v="395"/>
    <x v="8"/>
    <n v="1.9875"/>
    <n v="41.737499999999997"/>
    <x v="6"/>
    <x v="99"/>
    <x v="1"/>
    <n v="39.75"/>
    <n v="4.7619047620000003"/>
    <n v="1.9875"/>
    <n v="6.1"/>
  </r>
  <r>
    <s v="448-61-3783"/>
    <x v="0"/>
    <x v="0"/>
    <x v="1"/>
    <x v="0"/>
    <x v="1"/>
    <x v="836"/>
    <x v="2"/>
    <n v="36.008000000000003"/>
    <n v="756.16800000000001"/>
    <x v="76"/>
    <x v="394"/>
    <x v="2"/>
    <n v="720.16"/>
    <n v="4.7619047620000003"/>
    <n v="36.008000000000003"/>
    <n v="4.5"/>
  </r>
  <r>
    <s v="761-49-0439"/>
    <x v="2"/>
    <x v="2"/>
    <x v="0"/>
    <x v="0"/>
    <x v="1"/>
    <x v="837"/>
    <x v="2"/>
    <n v="4.84"/>
    <n v="101.64"/>
    <x v="64"/>
    <x v="79"/>
    <x v="0"/>
    <n v="96.8"/>
    <n v="4.7619047620000003"/>
    <n v="4.84"/>
    <n v="8.6"/>
  </r>
  <r>
    <s v="490-95-0021"/>
    <x v="2"/>
    <x v="2"/>
    <x v="0"/>
    <x v="0"/>
    <x v="4"/>
    <x v="838"/>
    <x v="4"/>
    <n v="16.605"/>
    <n v="348.70499999999998"/>
    <x v="66"/>
    <x v="485"/>
    <x v="0"/>
    <n v="332.1"/>
    <n v="4.7619047620000003"/>
    <n v="16.605"/>
    <n v="6"/>
  </r>
  <r>
    <s v="115-38-7388"/>
    <x v="1"/>
    <x v="1"/>
    <x v="0"/>
    <x v="0"/>
    <x v="5"/>
    <x v="839"/>
    <x v="2"/>
    <n v="4.0720000000000001"/>
    <n v="85.512"/>
    <x v="73"/>
    <x v="423"/>
    <x v="2"/>
    <n v="81.44"/>
    <n v="4.7619047620000003"/>
    <n v="4.0720000000000001"/>
    <n v="9.5"/>
  </r>
  <r>
    <s v="311-13-6971"/>
    <x v="2"/>
    <x v="2"/>
    <x v="0"/>
    <x v="1"/>
    <x v="3"/>
    <x v="840"/>
    <x v="4"/>
    <n v="15.994999999999999"/>
    <n v="335.89499999999998"/>
    <x v="9"/>
    <x v="486"/>
    <x v="2"/>
    <n v="319.89999999999998"/>
    <n v="4.7619047620000003"/>
    <n v="15.994999999999999"/>
    <n v="9.9"/>
  </r>
  <r>
    <s v="291-55-6563"/>
    <x v="0"/>
    <x v="0"/>
    <x v="0"/>
    <x v="0"/>
    <x v="2"/>
    <x v="136"/>
    <x v="3"/>
    <n v="10.326000000000001"/>
    <n v="216.846"/>
    <x v="73"/>
    <x v="47"/>
    <x v="0"/>
    <n v="206.52"/>
    <n v="4.7619047620000003"/>
    <n v="10.326000000000001"/>
    <n v="7.5"/>
  </r>
  <r>
    <s v="548-48-3156"/>
    <x v="0"/>
    <x v="0"/>
    <x v="0"/>
    <x v="0"/>
    <x v="4"/>
    <x v="841"/>
    <x v="5"/>
    <n v="8.3339999999999996"/>
    <n v="175.01400000000001"/>
    <x v="35"/>
    <x v="303"/>
    <x v="1"/>
    <n v="166.68"/>
    <n v="4.7619047620000003"/>
    <n v="8.3339999999999996"/>
    <n v="7.6"/>
  </r>
  <r>
    <s v="460-93-5834"/>
    <x v="0"/>
    <x v="0"/>
    <x v="1"/>
    <x v="1"/>
    <x v="3"/>
    <x v="576"/>
    <x v="0"/>
    <n v="15.952999999999999"/>
    <n v="335.01299999999998"/>
    <x v="50"/>
    <x v="487"/>
    <x v="1"/>
    <n v="319.06"/>
    <n v="4.7619047620000003"/>
    <n v="15.952999999999999"/>
    <n v="5"/>
  </r>
  <r>
    <s v="325-89-4209"/>
    <x v="0"/>
    <x v="0"/>
    <x v="0"/>
    <x v="1"/>
    <x v="4"/>
    <x v="842"/>
    <x v="8"/>
    <n v="4.3949999999999996"/>
    <n v="92.295000000000002"/>
    <x v="63"/>
    <x v="144"/>
    <x v="0"/>
    <n v="87.9"/>
    <n v="4.7619047620000003"/>
    <n v="4.3949999999999996"/>
    <n v="6.7"/>
  </r>
  <r>
    <s v="884-80-6021"/>
    <x v="0"/>
    <x v="0"/>
    <x v="0"/>
    <x v="0"/>
    <x v="1"/>
    <x v="655"/>
    <x v="4"/>
    <n v="36.734999999999999"/>
    <n v="771.43499999999995"/>
    <x v="28"/>
    <x v="488"/>
    <x v="0"/>
    <n v="734.7"/>
    <n v="4.7619047620000003"/>
    <n v="36.734999999999999"/>
    <n v="9.5"/>
  </r>
  <r>
    <s v="137-74-8729"/>
    <x v="1"/>
    <x v="1"/>
    <x v="1"/>
    <x v="0"/>
    <x v="5"/>
    <x v="843"/>
    <x v="2"/>
    <n v="4.8760000000000003"/>
    <n v="102.396"/>
    <x v="45"/>
    <x v="433"/>
    <x v="0"/>
    <n v="97.52"/>
    <n v="4.7619047620000003"/>
    <n v="4.8760000000000003"/>
    <n v="6.8"/>
  </r>
  <r>
    <s v="880-46-5796"/>
    <x v="0"/>
    <x v="0"/>
    <x v="0"/>
    <x v="1"/>
    <x v="3"/>
    <x v="844"/>
    <x v="4"/>
    <n v="38.46"/>
    <n v="807.66"/>
    <x v="85"/>
    <x v="267"/>
    <x v="0"/>
    <n v="769.2"/>
    <n v="4.7619047620000003"/>
    <n v="38.46"/>
    <n v="5.6"/>
  </r>
  <r>
    <s v="389-70-2397"/>
    <x v="1"/>
    <x v="1"/>
    <x v="1"/>
    <x v="0"/>
    <x v="0"/>
    <x v="845"/>
    <x v="1"/>
    <n v="20.914999999999999"/>
    <n v="439.21499999999997"/>
    <x v="81"/>
    <x v="306"/>
    <x v="1"/>
    <n v="418.3"/>
    <n v="4.7619047620000003"/>
    <n v="20.914999999999999"/>
    <n v="7.2"/>
  </r>
  <r>
    <s v="114-35-5271"/>
    <x v="2"/>
    <x v="2"/>
    <x v="1"/>
    <x v="0"/>
    <x v="1"/>
    <x v="846"/>
    <x v="2"/>
    <n v="23.164000000000001"/>
    <n v="486.44400000000002"/>
    <x v="13"/>
    <x v="379"/>
    <x v="1"/>
    <n v="463.28"/>
    <n v="4.7619047620000003"/>
    <n v="23.164000000000001"/>
    <n v="8.1"/>
  </r>
  <r>
    <s v="607-76-6216"/>
    <x v="1"/>
    <x v="1"/>
    <x v="0"/>
    <x v="0"/>
    <x v="5"/>
    <x v="847"/>
    <x v="1"/>
    <n v="23.122499999999999"/>
    <n v="485.57249999999999"/>
    <x v="22"/>
    <x v="489"/>
    <x v="2"/>
    <n v="462.45"/>
    <n v="4.7619047620000003"/>
    <n v="23.122499999999999"/>
    <n v="8.6"/>
  </r>
  <r>
    <s v="715-20-1673"/>
    <x v="2"/>
    <x v="2"/>
    <x v="1"/>
    <x v="1"/>
    <x v="1"/>
    <x v="848"/>
    <x v="1"/>
    <n v="7.0949999999999998"/>
    <n v="148.995"/>
    <x v="43"/>
    <x v="490"/>
    <x v="1"/>
    <n v="141.9"/>
    <n v="4.7619047620000003"/>
    <n v="7.0949999999999998"/>
    <n v="9.4"/>
  </r>
  <r>
    <s v="811-35-1094"/>
    <x v="2"/>
    <x v="2"/>
    <x v="0"/>
    <x v="1"/>
    <x v="1"/>
    <x v="849"/>
    <x v="3"/>
    <n v="15.135"/>
    <n v="317.83499999999998"/>
    <x v="10"/>
    <x v="204"/>
    <x v="2"/>
    <n v="302.7"/>
    <n v="4.7619047620000003"/>
    <n v="15.135"/>
    <n v="8.9"/>
  </r>
  <r>
    <s v="699-88-1972"/>
    <x v="2"/>
    <x v="2"/>
    <x v="1"/>
    <x v="1"/>
    <x v="0"/>
    <x v="850"/>
    <x v="2"/>
    <n v="39.664000000000001"/>
    <n v="832.94399999999996"/>
    <x v="26"/>
    <x v="59"/>
    <x v="2"/>
    <n v="793.28"/>
    <n v="4.7619047620000003"/>
    <n v="39.664000000000001"/>
    <n v="4.2"/>
  </r>
  <r>
    <s v="781-84-8059"/>
    <x v="1"/>
    <x v="1"/>
    <x v="1"/>
    <x v="1"/>
    <x v="5"/>
    <x v="851"/>
    <x v="0"/>
    <n v="21.259"/>
    <n v="446.43900000000002"/>
    <x v="68"/>
    <x v="293"/>
    <x v="0"/>
    <n v="425.18"/>
    <n v="4.7619047620000003"/>
    <n v="21.259"/>
    <n v="5"/>
  </r>
  <r>
    <s v="409-49-6995"/>
    <x v="1"/>
    <x v="1"/>
    <x v="0"/>
    <x v="0"/>
    <x v="4"/>
    <x v="852"/>
    <x v="3"/>
    <n v="14.180999999999999"/>
    <n v="297.80099999999999"/>
    <x v="63"/>
    <x v="79"/>
    <x v="1"/>
    <n v="283.62"/>
    <n v="4.7619047620000003"/>
    <n v="14.180999999999999"/>
    <n v="8.8000000000000007"/>
  </r>
  <r>
    <s v="725-54-0677"/>
    <x v="1"/>
    <x v="1"/>
    <x v="0"/>
    <x v="1"/>
    <x v="0"/>
    <x v="853"/>
    <x v="0"/>
    <n v="29.96"/>
    <n v="629.16"/>
    <x v="22"/>
    <x v="491"/>
    <x v="1"/>
    <n v="599.20000000000005"/>
    <n v="4.7619047620000003"/>
    <n v="29.96"/>
    <n v="5.3"/>
  </r>
  <r>
    <s v="146-09-5432"/>
    <x v="0"/>
    <x v="0"/>
    <x v="0"/>
    <x v="1"/>
    <x v="4"/>
    <x v="854"/>
    <x v="9"/>
    <n v="15.768000000000001"/>
    <n v="331.12799999999999"/>
    <x v="57"/>
    <x v="151"/>
    <x v="0"/>
    <n v="315.36"/>
    <n v="4.7619047620000003"/>
    <n v="15.768000000000001"/>
    <n v="4.5999999999999996"/>
  </r>
  <r>
    <s v="377-79-7592"/>
    <x v="1"/>
    <x v="1"/>
    <x v="0"/>
    <x v="0"/>
    <x v="1"/>
    <x v="855"/>
    <x v="9"/>
    <n v="20.178000000000001"/>
    <n v="423.738"/>
    <x v="78"/>
    <x v="466"/>
    <x v="2"/>
    <n v="403.56"/>
    <n v="4.7619047620000003"/>
    <n v="20.178000000000001"/>
    <n v="7.5"/>
  </r>
  <r>
    <s v="509-10-0516"/>
    <x v="2"/>
    <x v="2"/>
    <x v="1"/>
    <x v="1"/>
    <x v="2"/>
    <x v="856"/>
    <x v="7"/>
    <n v="9.1940000000000008"/>
    <n v="193.07400000000001"/>
    <x v="57"/>
    <x v="110"/>
    <x v="0"/>
    <n v="183.88"/>
    <n v="4.7619047620000003"/>
    <n v="9.1940000000000008"/>
    <n v="5.0999999999999996"/>
  </r>
  <r>
    <s v="595-94-9924"/>
    <x v="0"/>
    <x v="0"/>
    <x v="0"/>
    <x v="0"/>
    <x v="0"/>
    <x v="857"/>
    <x v="1"/>
    <n v="6.9325000000000001"/>
    <n v="145.58250000000001"/>
    <x v="58"/>
    <x v="277"/>
    <x v="2"/>
    <n v="138.65"/>
    <n v="4.7619047620000003"/>
    <n v="6.9325000000000001"/>
    <n v="4.2"/>
  </r>
  <r>
    <s v="865-41-9075"/>
    <x v="0"/>
    <x v="0"/>
    <x v="1"/>
    <x v="1"/>
    <x v="4"/>
    <x v="858"/>
    <x v="0"/>
    <n v="4.0354999999999999"/>
    <n v="84.745500000000007"/>
    <x v="26"/>
    <x v="492"/>
    <x v="1"/>
    <n v="80.709999999999994"/>
    <n v="4.7619047620000003"/>
    <n v="4.0354999999999999"/>
    <n v="8.1"/>
  </r>
  <r>
    <s v="545-07-8534"/>
    <x v="1"/>
    <x v="1"/>
    <x v="1"/>
    <x v="0"/>
    <x v="0"/>
    <x v="859"/>
    <x v="5"/>
    <n v="5.8319999999999999"/>
    <n v="122.47199999999999"/>
    <x v="44"/>
    <x v="179"/>
    <x v="0"/>
    <n v="116.64"/>
    <n v="4.7619047620000003"/>
    <n v="5.8319999999999999"/>
    <n v="6"/>
  </r>
  <r>
    <s v="118-62-1812"/>
    <x v="1"/>
    <x v="1"/>
    <x v="0"/>
    <x v="0"/>
    <x v="2"/>
    <x v="292"/>
    <x v="7"/>
    <n v="15.676"/>
    <n v="329.19600000000003"/>
    <x v="62"/>
    <x v="493"/>
    <x v="1"/>
    <n v="313.52"/>
    <n v="4.7619047620000003"/>
    <n v="15.676"/>
    <n v="7.9"/>
  </r>
  <r>
    <s v="450-42-3339"/>
    <x v="1"/>
    <x v="1"/>
    <x v="1"/>
    <x v="1"/>
    <x v="0"/>
    <x v="860"/>
    <x v="4"/>
    <n v="42.305"/>
    <n v="888.40499999999997"/>
    <x v="57"/>
    <x v="262"/>
    <x v="2"/>
    <n v="846.1"/>
    <n v="4.7619047620000003"/>
    <n v="42.305"/>
    <n v="8.8000000000000007"/>
  </r>
  <r>
    <s v="851-98-3555"/>
    <x v="2"/>
    <x v="2"/>
    <x v="1"/>
    <x v="0"/>
    <x v="0"/>
    <x v="861"/>
    <x v="1"/>
    <n v="20.72"/>
    <n v="435.12"/>
    <x v="62"/>
    <x v="402"/>
    <x v="2"/>
    <n v="414.4"/>
    <n v="4.7619047620000003"/>
    <n v="20.72"/>
    <n v="6.6"/>
  </r>
  <r>
    <s v="186-71-5196"/>
    <x v="0"/>
    <x v="0"/>
    <x v="0"/>
    <x v="0"/>
    <x v="4"/>
    <x v="862"/>
    <x v="5"/>
    <n v="7.9539999999999997"/>
    <n v="167.03399999999999"/>
    <x v="39"/>
    <x v="269"/>
    <x v="0"/>
    <n v="159.08000000000001"/>
    <n v="4.7619047620000003"/>
    <n v="7.9539999999999997"/>
    <n v="6.2"/>
  </r>
  <r>
    <s v="624-01-8356"/>
    <x v="2"/>
    <x v="2"/>
    <x v="1"/>
    <x v="0"/>
    <x v="2"/>
    <x v="863"/>
    <x v="4"/>
    <n v="24.504999999999999"/>
    <n v="514.60500000000002"/>
    <x v="3"/>
    <x v="494"/>
    <x v="2"/>
    <n v="490.1"/>
    <n v="4.7619047620000003"/>
    <n v="24.504999999999999"/>
    <n v="4.2"/>
  </r>
  <r>
    <s v="313-66-9943"/>
    <x v="2"/>
    <x v="2"/>
    <x v="0"/>
    <x v="0"/>
    <x v="4"/>
    <x v="864"/>
    <x v="6"/>
    <n v="4.3724999999999996"/>
    <n v="91.822500000000005"/>
    <x v="39"/>
    <x v="245"/>
    <x v="2"/>
    <n v="87.45"/>
    <n v="4.7619047620000003"/>
    <n v="4.3724999999999996"/>
    <n v="7.3"/>
  </r>
  <r>
    <s v="151-27-8496"/>
    <x v="1"/>
    <x v="1"/>
    <x v="1"/>
    <x v="0"/>
    <x v="1"/>
    <x v="865"/>
    <x v="7"/>
    <n v="11.226000000000001"/>
    <n v="235.74600000000001"/>
    <x v="64"/>
    <x v="354"/>
    <x v="0"/>
    <n v="224.52"/>
    <n v="4.7619047620000003"/>
    <n v="11.226000000000001"/>
    <n v="8.6"/>
  </r>
  <r>
    <s v="453-33-6436"/>
    <x v="0"/>
    <x v="0"/>
    <x v="1"/>
    <x v="0"/>
    <x v="2"/>
    <x v="866"/>
    <x v="2"/>
    <n v="37.247999999999998"/>
    <n v="782.20799999999997"/>
    <x v="13"/>
    <x v="495"/>
    <x v="1"/>
    <n v="744.96"/>
    <n v="4.7619047620000003"/>
    <n v="37.247999999999998"/>
    <n v="6.8"/>
  </r>
  <r>
    <s v="522-57-8364"/>
    <x v="0"/>
    <x v="0"/>
    <x v="0"/>
    <x v="1"/>
    <x v="5"/>
    <x v="455"/>
    <x v="2"/>
    <n v="20.536000000000001"/>
    <n v="431.25599999999997"/>
    <x v="82"/>
    <x v="158"/>
    <x v="0"/>
    <n v="410.72"/>
    <n v="4.7619047620000003"/>
    <n v="20.536000000000001"/>
    <n v="7.6"/>
  </r>
  <r>
    <s v="459-45-2396"/>
    <x v="0"/>
    <x v="0"/>
    <x v="0"/>
    <x v="0"/>
    <x v="4"/>
    <x v="867"/>
    <x v="6"/>
    <n v="14.94"/>
    <n v="313.74"/>
    <x v="6"/>
    <x v="40"/>
    <x v="1"/>
    <n v="298.8"/>
    <n v="4.7619047620000003"/>
    <n v="14.94"/>
    <n v="5.8"/>
  </r>
  <r>
    <s v="717-96-4189"/>
    <x v="1"/>
    <x v="1"/>
    <x v="1"/>
    <x v="0"/>
    <x v="1"/>
    <x v="868"/>
    <x v="3"/>
    <n v="10.647"/>
    <n v="223.58699999999999"/>
    <x v="30"/>
    <x v="343"/>
    <x v="1"/>
    <n v="212.94"/>
    <n v="4.7619047620000003"/>
    <n v="10.647"/>
    <n v="4.0999999999999996"/>
  </r>
  <r>
    <s v="722-13-2115"/>
    <x v="1"/>
    <x v="1"/>
    <x v="0"/>
    <x v="1"/>
    <x v="3"/>
    <x v="869"/>
    <x v="8"/>
    <n v="2.1425000000000001"/>
    <n v="44.9925"/>
    <x v="86"/>
    <x v="29"/>
    <x v="2"/>
    <n v="42.85"/>
    <n v="4.7619047620000003"/>
    <n v="2.1425000000000001"/>
    <n v="9.3000000000000007"/>
  </r>
  <r>
    <s v="749-81-8133"/>
    <x v="0"/>
    <x v="0"/>
    <x v="1"/>
    <x v="0"/>
    <x v="5"/>
    <x v="870"/>
    <x v="7"/>
    <n v="18.934000000000001"/>
    <n v="397.61399999999998"/>
    <x v="16"/>
    <x v="153"/>
    <x v="1"/>
    <n v="378.68"/>
    <n v="4.7619047620000003"/>
    <n v="18.934000000000001"/>
    <n v="6.8"/>
  </r>
  <r>
    <s v="777-67-2495"/>
    <x v="2"/>
    <x v="2"/>
    <x v="1"/>
    <x v="1"/>
    <x v="2"/>
    <x v="871"/>
    <x v="6"/>
    <n v="10.345499999999999"/>
    <n v="217.25550000000001"/>
    <x v="70"/>
    <x v="55"/>
    <x v="0"/>
    <n v="206.91"/>
    <n v="4.7619047620000003"/>
    <n v="10.345499999999999"/>
    <n v="8.6999999999999993"/>
  </r>
  <r>
    <s v="636-98-3364"/>
    <x v="2"/>
    <x v="2"/>
    <x v="0"/>
    <x v="0"/>
    <x v="1"/>
    <x v="362"/>
    <x v="6"/>
    <n v="3.9390000000000001"/>
    <n v="82.718999999999994"/>
    <x v="22"/>
    <x v="482"/>
    <x v="0"/>
    <n v="78.78"/>
    <n v="4.7619047620000003"/>
    <n v="3.9390000000000001"/>
    <n v="6.3"/>
  </r>
  <r>
    <s v="246-55-6923"/>
    <x v="1"/>
    <x v="1"/>
    <x v="0"/>
    <x v="0"/>
    <x v="2"/>
    <x v="872"/>
    <x v="9"/>
    <n v="16.105499999999999"/>
    <n v="338.21550000000002"/>
    <x v="24"/>
    <x v="379"/>
    <x v="2"/>
    <n v="322.11"/>
    <n v="4.7619047620000003"/>
    <n v="16.105499999999999"/>
    <n v="5.0999999999999996"/>
  </r>
  <r>
    <s v="181-82-6255"/>
    <x v="2"/>
    <x v="2"/>
    <x v="1"/>
    <x v="0"/>
    <x v="2"/>
    <x v="873"/>
    <x v="3"/>
    <n v="4.9109999999999996"/>
    <n v="103.131"/>
    <x v="4"/>
    <x v="496"/>
    <x v="1"/>
    <n v="98.22"/>
    <n v="4.7619047620000003"/>
    <n v="4.9109999999999996"/>
    <n v="7"/>
  </r>
  <r>
    <s v="838-02-1821"/>
    <x v="1"/>
    <x v="1"/>
    <x v="0"/>
    <x v="0"/>
    <x v="2"/>
    <x v="874"/>
    <x v="5"/>
    <n v="1.2729999999999999"/>
    <n v="26.733000000000001"/>
    <x v="70"/>
    <x v="334"/>
    <x v="2"/>
    <n v="25.46"/>
    <n v="4.7619047620000003"/>
    <n v="1.2729999999999999"/>
    <n v="5.2"/>
  </r>
  <r>
    <s v="887-42-0517"/>
    <x v="1"/>
    <x v="1"/>
    <x v="1"/>
    <x v="0"/>
    <x v="3"/>
    <x v="875"/>
    <x v="0"/>
    <n v="29.099"/>
    <n v="611.07899999999995"/>
    <x v="8"/>
    <x v="359"/>
    <x v="2"/>
    <n v="581.98"/>
    <n v="4.7619047620000003"/>
    <n v="29.099"/>
    <n v="6.6"/>
  </r>
  <r>
    <s v="457-12-0244"/>
    <x v="1"/>
    <x v="1"/>
    <x v="0"/>
    <x v="0"/>
    <x v="3"/>
    <x v="876"/>
    <x v="3"/>
    <n v="10.566000000000001"/>
    <n v="221.886"/>
    <x v="86"/>
    <x v="497"/>
    <x v="0"/>
    <n v="211.32"/>
    <n v="4.7619047620000003"/>
    <n v="10.566000000000001"/>
    <n v="6.5"/>
  </r>
  <r>
    <s v="226-34-0034"/>
    <x v="2"/>
    <x v="2"/>
    <x v="1"/>
    <x v="0"/>
    <x v="1"/>
    <x v="877"/>
    <x v="7"/>
    <n v="2.7559999999999998"/>
    <n v="57.875999999999998"/>
    <x v="8"/>
    <x v="498"/>
    <x v="0"/>
    <n v="55.12"/>
    <n v="4.7619047620000003"/>
    <n v="2.7559999999999998"/>
    <n v="9"/>
  </r>
  <r>
    <s v="321-49-7382"/>
    <x v="2"/>
    <x v="2"/>
    <x v="0"/>
    <x v="1"/>
    <x v="3"/>
    <x v="878"/>
    <x v="8"/>
    <n v="4.4154999999999998"/>
    <n v="92.725499999999997"/>
    <x v="42"/>
    <x v="180"/>
    <x v="2"/>
    <n v="88.31"/>
    <n v="4.7619047620000003"/>
    <n v="4.4154999999999998"/>
    <n v="5.2"/>
  </r>
  <r>
    <s v="397-25-8725"/>
    <x v="0"/>
    <x v="0"/>
    <x v="0"/>
    <x v="0"/>
    <x v="0"/>
    <x v="129"/>
    <x v="9"/>
    <n v="17.829000000000001"/>
    <n v="374.40899999999999"/>
    <x v="50"/>
    <x v="297"/>
    <x v="2"/>
    <n v="356.58"/>
    <n v="4.7619047620000003"/>
    <n v="17.829000000000001"/>
    <n v="6.8"/>
  </r>
  <r>
    <s v="431-66-2305"/>
    <x v="2"/>
    <x v="2"/>
    <x v="1"/>
    <x v="0"/>
    <x v="1"/>
    <x v="879"/>
    <x v="9"/>
    <n v="39.712499999999999"/>
    <n v="833.96249999999998"/>
    <x v="42"/>
    <x v="259"/>
    <x v="2"/>
    <n v="794.25"/>
    <n v="4.7619047620000003"/>
    <n v="39.712499999999999"/>
    <n v="7.6"/>
  </r>
  <r>
    <s v="825-94-5922"/>
    <x v="2"/>
    <x v="2"/>
    <x v="1"/>
    <x v="1"/>
    <x v="3"/>
    <x v="880"/>
    <x v="5"/>
    <n v="2.5310000000000001"/>
    <n v="53.151000000000003"/>
    <x v="22"/>
    <x v="206"/>
    <x v="0"/>
    <n v="50.62"/>
    <n v="4.7619047620000003"/>
    <n v="2.5310000000000001"/>
    <n v="7.2"/>
  </r>
  <r>
    <s v="641-62-7288"/>
    <x v="2"/>
    <x v="2"/>
    <x v="1"/>
    <x v="1"/>
    <x v="2"/>
    <x v="881"/>
    <x v="3"/>
    <n v="29.975999999999999"/>
    <n v="629.49599999999998"/>
    <x v="62"/>
    <x v="499"/>
    <x v="0"/>
    <n v="599.52"/>
    <n v="4.7619047620000003"/>
    <n v="29.975999999999999"/>
    <n v="7.1"/>
  </r>
  <r>
    <s v="756-93-1854"/>
    <x v="1"/>
    <x v="1"/>
    <x v="0"/>
    <x v="0"/>
    <x v="5"/>
    <x v="882"/>
    <x v="5"/>
    <n v="8.3350000000000009"/>
    <n v="175.035"/>
    <x v="30"/>
    <x v="500"/>
    <x v="2"/>
    <n v="166.7"/>
    <n v="4.7619047620000003"/>
    <n v="8.3350000000000009"/>
    <n v="9.5"/>
  </r>
  <r>
    <s v="243-55-8457"/>
    <x v="0"/>
    <x v="0"/>
    <x v="1"/>
    <x v="0"/>
    <x v="4"/>
    <x v="883"/>
    <x v="4"/>
    <n v="37.22"/>
    <n v="781.62"/>
    <x v="33"/>
    <x v="335"/>
    <x v="0"/>
    <n v="744.4"/>
    <n v="4.7619047620000003"/>
    <n v="37.22"/>
    <n v="5.0999999999999996"/>
  </r>
  <r>
    <s v="458-10-8612"/>
    <x v="1"/>
    <x v="1"/>
    <x v="1"/>
    <x v="1"/>
    <x v="0"/>
    <x v="654"/>
    <x v="0"/>
    <n v="22.428000000000001"/>
    <n v="470.988"/>
    <x v="40"/>
    <x v="62"/>
    <x v="0"/>
    <n v="448.56"/>
    <n v="4.7619047620000003"/>
    <n v="22.428000000000001"/>
    <n v="7.6"/>
  </r>
  <r>
    <s v="501-61-1753"/>
    <x v="2"/>
    <x v="2"/>
    <x v="1"/>
    <x v="0"/>
    <x v="2"/>
    <x v="884"/>
    <x v="3"/>
    <n v="18.945"/>
    <n v="397.84500000000003"/>
    <x v="75"/>
    <x v="181"/>
    <x v="0"/>
    <n v="378.9"/>
    <n v="4.7619047620000003"/>
    <n v="18.945"/>
    <n v="9.8000000000000007"/>
  </r>
  <r>
    <s v="235-06-8510"/>
    <x v="1"/>
    <x v="1"/>
    <x v="0"/>
    <x v="1"/>
    <x v="2"/>
    <x v="885"/>
    <x v="6"/>
    <n v="12.858000000000001"/>
    <n v="270.01799999999997"/>
    <x v="46"/>
    <x v="123"/>
    <x v="0"/>
    <n v="257.16000000000003"/>
    <n v="4.7619047620000003"/>
    <n v="12.858000000000001"/>
    <n v="5.0999999999999996"/>
  </r>
  <r>
    <s v="433-08-7822"/>
    <x v="1"/>
    <x v="1"/>
    <x v="1"/>
    <x v="0"/>
    <x v="0"/>
    <x v="886"/>
    <x v="0"/>
    <n v="27.611499999999999"/>
    <n v="579.8415"/>
    <x v="0"/>
    <x v="28"/>
    <x v="0"/>
    <n v="552.23"/>
    <n v="4.7619047620000003"/>
    <n v="27.611499999999999"/>
    <n v="7.5"/>
  </r>
  <r>
    <s v="361-85-2571"/>
    <x v="0"/>
    <x v="0"/>
    <x v="1"/>
    <x v="0"/>
    <x v="3"/>
    <x v="70"/>
    <x v="1"/>
    <n v="22.37"/>
    <n v="469.77"/>
    <x v="73"/>
    <x v="392"/>
    <x v="1"/>
    <n v="447.4"/>
    <n v="4.7619047620000003"/>
    <n v="22.37"/>
    <n v="7.4"/>
  </r>
  <r>
    <s v="131-70-8179"/>
    <x v="0"/>
    <x v="0"/>
    <x v="0"/>
    <x v="0"/>
    <x v="0"/>
    <x v="887"/>
    <x v="6"/>
    <n v="13.813499999999999"/>
    <n v="290.08350000000002"/>
    <x v="21"/>
    <x v="501"/>
    <x v="1"/>
    <n v="276.27"/>
    <n v="4.7619047620000003"/>
    <n v="13.813499999999999"/>
    <n v="4.2"/>
  </r>
  <r>
    <s v="500-02-2261"/>
    <x v="1"/>
    <x v="1"/>
    <x v="1"/>
    <x v="0"/>
    <x v="4"/>
    <x v="888"/>
    <x v="3"/>
    <n v="17.187000000000001"/>
    <n v="360.92700000000002"/>
    <x v="76"/>
    <x v="72"/>
    <x v="0"/>
    <n v="343.74"/>
    <n v="4.7619047620000003"/>
    <n v="17.187000000000001"/>
    <n v="5.9"/>
  </r>
  <r>
    <s v="720-72-2436"/>
    <x v="0"/>
    <x v="0"/>
    <x v="1"/>
    <x v="1"/>
    <x v="4"/>
    <x v="889"/>
    <x v="7"/>
    <n v="13.304"/>
    <n v="279.38400000000001"/>
    <x v="22"/>
    <x v="92"/>
    <x v="0"/>
    <n v="266.08"/>
    <n v="4.7619047620000003"/>
    <n v="13.304"/>
    <n v="6.9"/>
  </r>
  <r>
    <s v="702-83-5291"/>
    <x v="1"/>
    <x v="1"/>
    <x v="0"/>
    <x v="1"/>
    <x v="5"/>
    <x v="295"/>
    <x v="9"/>
    <n v="44.918999999999997"/>
    <n v="943.29899999999998"/>
    <x v="39"/>
    <x v="100"/>
    <x v="1"/>
    <n v="898.38"/>
    <n v="4.7619047620000003"/>
    <n v="44.918999999999997"/>
    <n v="6.6"/>
  </r>
  <r>
    <s v="809-69-9497"/>
    <x v="0"/>
    <x v="0"/>
    <x v="1"/>
    <x v="0"/>
    <x v="2"/>
    <x v="890"/>
    <x v="4"/>
    <n v="22.84"/>
    <n v="479.64"/>
    <x v="64"/>
    <x v="171"/>
    <x v="0"/>
    <n v="456.8"/>
    <n v="4.7619047620000003"/>
    <n v="22.84"/>
    <n v="5.7"/>
  </r>
  <r>
    <s v="449-16-6770"/>
    <x v="0"/>
    <x v="0"/>
    <x v="1"/>
    <x v="1"/>
    <x v="0"/>
    <x v="891"/>
    <x v="1"/>
    <n v="12.6975"/>
    <n v="266.64749999999998"/>
    <x v="88"/>
    <x v="222"/>
    <x v="2"/>
    <n v="253.95"/>
    <n v="4.7619047620000003"/>
    <n v="12.6975"/>
    <n v="5.3"/>
  </r>
  <r>
    <s v="333-23-2632"/>
    <x v="0"/>
    <x v="0"/>
    <x v="0"/>
    <x v="1"/>
    <x v="0"/>
    <x v="892"/>
    <x v="0"/>
    <n v="3.528"/>
    <n v="74.087999999999994"/>
    <x v="61"/>
    <x v="253"/>
    <x v="1"/>
    <n v="70.56"/>
    <n v="4.7619047620000003"/>
    <n v="3.528"/>
    <n v="4.2"/>
  </r>
  <r>
    <s v="489-82-1237"/>
    <x v="0"/>
    <x v="0"/>
    <x v="1"/>
    <x v="0"/>
    <x v="1"/>
    <x v="893"/>
    <x v="0"/>
    <n v="32.857999999999997"/>
    <n v="690.01800000000003"/>
    <x v="0"/>
    <x v="159"/>
    <x v="2"/>
    <n v="657.16"/>
    <n v="4.7619047620000003"/>
    <n v="32.857999999999997"/>
    <n v="7.3"/>
  </r>
  <r>
    <s v="859-97-6048"/>
    <x v="1"/>
    <x v="1"/>
    <x v="0"/>
    <x v="1"/>
    <x v="1"/>
    <x v="894"/>
    <x v="5"/>
    <n v="8.4250000000000007"/>
    <n v="176.92500000000001"/>
    <x v="58"/>
    <x v="385"/>
    <x v="2"/>
    <n v="168.5"/>
    <n v="4.7619047620000003"/>
    <n v="8.4250000000000007"/>
    <n v="5.3"/>
  </r>
  <r>
    <s v="676-10-2200"/>
    <x v="2"/>
    <x v="2"/>
    <x v="0"/>
    <x v="1"/>
    <x v="5"/>
    <x v="895"/>
    <x v="8"/>
    <n v="2.6890000000000001"/>
    <n v="56.469000000000001"/>
    <x v="36"/>
    <x v="430"/>
    <x v="0"/>
    <n v="53.78"/>
    <n v="4.7619047620000003"/>
    <n v="2.6890000000000001"/>
    <n v="4.7"/>
  </r>
  <r>
    <s v="373-88-1424"/>
    <x v="1"/>
    <x v="1"/>
    <x v="0"/>
    <x v="1"/>
    <x v="2"/>
    <x v="896"/>
    <x v="1"/>
    <n v="8.9525000000000006"/>
    <n v="188.0025"/>
    <x v="10"/>
    <x v="114"/>
    <x v="0"/>
    <n v="179.05"/>
    <n v="4.7619047620000003"/>
    <n v="8.9525000000000006"/>
    <n v="7.9"/>
  </r>
  <r>
    <s v="365-16-4334"/>
    <x v="2"/>
    <x v="2"/>
    <x v="1"/>
    <x v="0"/>
    <x v="4"/>
    <x v="897"/>
    <x v="2"/>
    <n v="10.571999999999999"/>
    <n v="222.012"/>
    <x v="7"/>
    <x v="442"/>
    <x v="0"/>
    <n v="211.44"/>
    <n v="4.7619047620000003"/>
    <n v="10.571999999999999"/>
    <n v="8.9"/>
  </r>
  <r>
    <s v="503-21-4385"/>
    <x v="2"/>
    <x v="2"/>
    <x v="0"/>
    <x v="1"/>
    <x v="0"/>
    <x v="898"/>
    <x v="6"/>
    <n v="5.9865000000000004"/>
    <n v="125.7165"/>
    <x v="81"/>
    <x v="343"/>
    <x v="0"/>
    <n v="119.73"/>
    <n v="4.7619047620000003"/>
    <n v="5.9865000000000004"/>
    <n v="9.3000000000000007"/>
  </r>
  <r>
    <s v="305-89-2768"/>
    <x v="2"/>
    <x v="2"/>
    <x v="0"/>
    <x v="0"/>
    <x v="2"/>
    <x v="899"/>
    <x v="6"/>
    <n v="3.2850000000000001"/>
    <n v="68.984999999999999"/>
    <x v="51"/>
    <x v="362"/>
    <x v="0"/>
    <n v="65.7"/>
    <n v="4.7619047620000003"/>
    <n v="3.2850000000000001"/>
    <n v="4.7"/>
  </r>
  <r>
    <s v="574-80-1489"/>
    <x v="2"/>
    <x v="2"/>
    <x v="0"/>
    <x v="0"/>
    <x v="4"/>
    <x v="900"/>
    <x v="7"/>
    <n v="12.57"/>
    <n v="263.97000000000003"/>
    <x v="6"/>
    <x v="93"/>
    <x v="0"/>
    <n v="251.4"/>
    <n v="4.7619047620000003"/>
    <n v="12.57"/>
    <n v="8.6999999999999993"/>
  </r>
  <r>
    <s v="784-08-0310"/>
    <x v="1"/>
    <x v="1"/>
    <x v="0"/>
    <x v="0"/>
    <x v="4"/>
    <x v="901"/>
    <x v="7"/>
    <n v="4.2080000000000002"/>
    <n v="88.367999999999995"/>
    <x v="50"/>
    <x v="139"/>
    <x v="1"/>
    <n v="84.16"/>
    <n v="4.7619047620000003"/>
    <n v="4.2080000000000002"/>
    <n v="7.6"/>
  </r>
  <r>
    <s v="200-40-6154"/>
    <x v="2"/>
    <x v="2"/>
    <x v="0"/>
    <x v="1"/>
    <x v="2"/>
    <x v="902"/>
    <x v="3"/>
    <n v="19.773"/>
    <n v="415.233"/>
    <x v="57"/>
    <x v="393"/>
    <x v="1"/>
    <n v="395.46"/>
    <n v="4.7619047620000003"/>
    <n v="19.773"/>
    <n v="5.7"/>
  </r>
  <r>
    <s v="846-10-0341"/>
    <x v="0"/>
    <x v="0"/>
    <x v="1"/>
    <x v="0"/>
    <x v="5"/>
    <x v="163"/>
    <x v="0"/>
    <n v="14.8995"/>
    <n v="312.8895"/>
    <x v="47"/>
    <x v="159"/>
    <x v="1"/>
    <n v="297.99"/>
    <n v="4.7619047620000003"/>
    <n v="14.8995"/>
    <n v="6.8"/>
  </r>
  <r>
    <s v="577-34-7579"/>
    <x v="1"/>
    <x v="1"/>
    <x v="0"/>
    <x v="1"/>
    <x v="4"/>
    <x v="903"/>
    <x v="9"/>
    <n v="22.720500000000001"/>
    <n v="477.13049999999998"/>
    <x v="8"/>
    <x v="361"/>
    <x v="1"/>
    <n v="454.41"/>
    <n v="4.7619047620000003"/>
    <n v="22.720500000000001"/>
    <n v="5.4"/>
  </r>
  <r>
    <s v="430-02-3888"/>
    <x v="2"/>
    <x v="2"/>
    <x v="1"/>
    <x v="1"/>
    <x v="1"/>
    <x v="904"/>
    <x v="3"/>
    <n v="13.805999999999999"/>
    <n v="289.92599999999999"/>
    <x v="13"/>
    <x v="57"/>
    <x v="1"/>
    <n v="276.12"/>
    <n v="4.7619047620000003"/>
    <n v="13.805999999999999"/>
    <n v="7.1"/>
  </r>
  <r>
    <s v="867-47-1948"/>
    <x v="1"/>
    <x v="1"/>
    <x v="1"/>
    <x v="0"/>
    <x v="2"/>
    <x v="905"/>
    <x v="4"/>
    <n v="7.9"/>
    <n v="165.9"/>
    <x v="51"/>
    <x v="348"/>
    <x v="1"/>
    <n v="158"/>
    <n v="4.7619047620000003"/>
    <n v="7.9"/>
    <n v="7.8"/>
  </r>
  <r>
    <s v="384-59-6655"/>
    <x v="0"/>
    <x v="0"/>
    <x v="0"/>
    <x v="0"/>
    <x v="4"/>
    <x v="906"/>
    <x v="9"/>
    <n v="44.396999999999998"/>
    <n v="932.33699999999999"/>
    <x v="88"/>
    <x v="133"/>
    <x v="1"/>
    <n v="887.94"/>
    <n v="4.7619047620000003"/>
    <n v="44.396999999999998"/>
    <n v="8.4"/>
  </r>
  <r>
    <s v="256-58-3609"/>
    <x v="1"/>
    <x v="1"/>
    <x v="0"/>
    <x v="1"/>
    <x v="5"/>
    <x v="907"/>
    <x v="8"/>
    <n v="4.5990000000000002"/>
    <n v="96.578999999999994"/>
    <x v="79"/>
    <x v="406"/>
    <x v="1"/>
    <n v="91.98"/>
    <n v="4.7619047620000003"/>
    <n v="4.5990000000000002"/>
    <n v="9.8000000000000007"/>
  </r>
  <r>
    <s v="324-92-3863"/>
    <x v="0"/>
    <x v="0"/>
    <x v="0"/>
    <x v="1"/>
    <x v="1"/>
    <x v="908"/>
    <x v="5"/>
    <n v="2.089"/>
    <n v="43.869"/>
    <x v="63"/>
    <x v="40"/>
    <x v="1"/>
    <n v="41.78"/>
    <n v="4.7619047620000003"/>
    <n v="2.089"/>
    <n v="9.8000000000000007"/>
  </r>
  <r>
    <s v="593-08-5916"/>
    <x v="0"/>
    <x v="0"/>
    <x v="1"/>
    <x v="0"/>
    <x v="5"/>
    <x v="180"/>
    <x v="8"/>
    <n v="0.77500000000000002"/>
    <n v="16.274999999999999"/>
    <x v="35"/>
    <x v="502"/>
    <x v="2"/>
    <n v="15.5"/>
    <n v="4.7619047620000003"/>
    <n v="0.77500000000000002"/>
    <n v="7.4"/>
  </r>
  <r>
    <s v="364-34-2972"/>
    <x v="1"/>
    <x v="1"/>
    <x v="0"/>
    <x v="1"/>
    <x v="1"/>
    <x v="909"/>
    <x v="6"/>
    <n v="14.523"/>
    <n v="304.983"/>
    <x v="73"/>
    <x v="291"/>
    <x v="1"/>
    <n v="290.45999999999998"/>
    <n v="4.7619047620000003"/>
    <n v="14.523"/>
    <n v="6.7"/>
  </r>
  <r>
    <s v="794-42-3736"/>
    <x v="2"/>
    <x v="2"/>
    <x v="1"/>
    <x v="1"/>
    <x v="4"/>
    <x v="910"/>
    <x v="5"/>
    <n v="3.3330000000000002"/>
    <n v="69.992999999999995"/>
    <x v="53"/>
    <x v="400"/>
    <x v="2"/>
    <n v="66.66"/>
    <n v="4.7619047620000003"/>
    <n v="3.3330000000000002"/>
    <n v="6.4"/>
  </r>
  <r>
    <s v="172-42-8274"/>
    <x v="2"/>
    <x v="2"/>
    <x v="1"/>
    <x v="0"/>
    <x v="1"/>
    <x v="911"/>
    <x v="5"/>
    <n v="3.827"/>
    <n v="80.367000000000004"/>
    <x v="22"/>
    <x v="503"/>
    <x v="2"/>
    <n v="76.540000000000006"/>
    <n v="4.7619047620000003"/>
    <n v="3.827"/>
    <n v="5.8"/>
  </r>
  <r>
    <s v="558-60-5016"/>
    <x v="0"/>
    <x v="0"/>
    <x v="1"/>
    <x v="0"/>
    <x v="2"/>
    <x v="912"/>
    <x v="9"/>
    <n v="14.984999999999999"/>
    <n v="314.685"/>
    <x v="31"/>
    <x v="398"/>
    <x v="0"/>
    <n v="299.7"/>
    <n v="4.7619047620000003"/>
    <n v="14.984999999999999"/>
    <n v="7.2"/>
  </r>
  <r>
    <s v="195-06-0432"/>
    <x v="0"/>
    <x v="0"/>
    <x v="0"/>
    <x v="1"/>
    <x v="2"/>
    <x v="913"/>
    <x v="6"/>
    <n v="12.1515"/>
    <n v="255.1815"/>
    <x v="50"/>
    <x v="197"/>
    <x v="2"/>
    <n v="243.03"/>
    <n v="4.7619047620000003"/>
    <n v="12.1515"/>
    <n v="9.3000000000000007"/>
  </r>
  <r>
    <s v="605-03-2706"/>
    <x v="0"/>
    <x v="0"/>
    <x v="1"/>
    <x v="0"/>
    <x v="0"/>
    <x v="905"/>
    <x v="6"/>
    <n v="2.37"/>
    <n v="49.77"/>
    <x v="5"/>
    <x v="454"/>
    <x v="1"/>
    <n v="47.4"/>
    <n v="4.7619047620000003"/>
    <n v="2.37"/>
    <n v="9.5"/>
  </r>
  <r>
    <s v="214-30-2776"/>
    <x v="2"/>
    <x v="2"/>
    <x v="0"/>
    <x v="0"/>
    <x v="1"/>
    <x v="914"/>
    <x v="1"/>
    <n v="8.6225000000000005"/>
    <n v="181.07249999999999"/>
    <x v="16"/>
    <x v="143"/>
    <x v="2"/>
    <n v="172.45"/>
    <n v="4.7619047620000003"/>
    <n v="8.6225000000000005"/>
    <n v="9"/>
  </r>
  <r>
    <s v="746-04-1077"/>
    <x v="2"/>
    <x v="2"/>
    <x v="0"/>
    <x v="0"/>
    <x v="4"/>
    <x v="915"/>
    <x v="4"/>
    <n v="42.314999999999998"/>
    <n v="888.61500000000001"/>
    <x v="17"/>
    <x v="150"/>
    <x v="2"/>
    <n v="846.3"/>
    <n v="4.7619047620000003"/>
    <n v="42.314999999999998"/>
    <n v="9"/>
  </r>
  <r>
    <s v="448-34-8700"/>
    <x v="2"/>
    <x v="2"/>
    <x v="0"/>
    <x v="1"/>
    <x v="2"/>
    <x v="916"/>
    <x v="0"/>
    <n v="12.9185"/>
    <n v="271.2885"/>
    <x v="34"/>
    <x v="477"/>
    <x v="0"/>
    <n v="258.37"/>
    <n v="4.7619047620000003"/>
    <n v="12.9185"/>
    <n v="6.7"/>
  </r>
  <r>
    <s v="452-04-8808"/>
    <x v="2"/>
    <x v="2"/>
    <x v="1"/>
    <x v="1"/>
    <x v="1"/>
    <x v="917"/>
    <x v="0"/>
    <n v="30.478000000000002"/>
    <n v="640.03800000000001"/>
    <x v="53"/>
    <x v="504"/>
    <x v="1"/>
    <n v="609.55999999999995"/>
    <n v="4.7619047620000003"/>
    <n v="30.478000000000002"/>
    <n v="5.5"/>
  </r>
  <r>
    <s v="531-56-4728"/>
    <x v="0"/>
    <x v="0"/>
    <x v="1"/>
    <x v="1"/>
    <x v="2"/>
    <x v="918"/>
    <x v="6"/>
    <n v="12.012"/>
    <n v="252.25200000000001"/>
    <x v="48"/>
    <x v="406"/>
    <x v="1"/>
    <n v="240.24"/>
    <n v="4.7619047620000003"/>
    <n v="12.012"/>
    <n v="5.4"/>
  </r>
  <r>
    <s v="744-82-9138"/>
    <x v="1"/>
    <x v="1"/>
    <x v="1"/>
    <x v="1"/>
    <x v="5"/>
    <x v="919"/>
    <x v="5"/>
    <n v="8.6129999999999995"/>
    <n v="180.87299999999999"/>
    <x v="13"/>
    <x v="422"/>
    <x v="1"/>
    <n v="172.26"/>
    <n v="4.7619047620000003"/>
    <n v="8.6129999999999995"/>
    <n v="8.1999999999999993"/>
  </r>
  <r>
    <s v="883-69-1285"/>
    <x v="2"/>
    <x v="2"/>
    <x v="0"/>
    <x v="1"/>
    <x v="5"/>
    <x v="920"/>
    <x v="5"/>
    <n v="4.992"/>
    <n v="104.83199999999999"/>
    <x v="43"/>
    <x v="479"/>
    <x v="2"/>
    <n v="99.84"/>
    <n v="4.7619047620000003"/>
    <n v="4.992"/>
    <n v="7"/>
  </r>
  <r>
    <s v="221-25-5073"/>
    <x v="0"/>
    <x v="0"/>
    <x v="1"/>
    <x v="0"/>
    <x v="4"/>
    <x v="921"/>
    <x v="7"/>
    <n v="14.932"/>
    <n v="313.572"/>
    <x v="31"/>
    <x v="17"/>
    <x v="1"/>
    <n v="298.64"/>
    <n v="4.7619047620000003"/>
    <n v="14.932"/>
    <n v="8.5"/>
  </r>
  <r>
    <s v="518-71-6847"/>
    <x v="2"/>
    <x v="2"/>
    <x v="0"/>
    <x v="1"/>
    <x v="4"/>
    <x v="922"/>
    <x v="3"/>
    <n v="7.98"/>
    <n v="167.58"/>
    <x v="84"/>
    <x v="50"/>
    <x v="0"/>
    <n v="159.6"/>
    <n v="4.7619047620000003"/>
    <n v="7.98"/>
    <n v="4.9000000000000004"/>
  </r>
  <r>
    <s v="156-20-0370"/>
    <x v="2"/>
    <x v="2"/>
    <x v="1"/>
    <x v="0"/>
    <x v="1"/>
    <x v="923"/>
    <x v="8"/>
    <n v="1.2725"/>
    <n v="26.7225"/>
    <x v="24"/>
    <x v="397"/>
    <x v="2"/>
    <n v="25.45"/>
    <n v="4.7619047620000003"/>
    <n v="1.2725"/>
    <n v="5.0999999999999996"/>
  </r>
  <r>
    <s v="151-33-7434"/>
    <x v="2"/>
    <x v="2"/>
    <x v="1"/>
    <x v="0"/>
    <x v="4"/>
    <x v="924"/>
    <x v="8"/>
    <n v="3.3885000000000001"/>
    <n v="71.158500000000004"/>
    <x v="87"/>
    <x v="413"/>
    <x v="2"/>
    <n v="67.77"/>
    <n v="4.7619047620000003"/>
    <n v="3.3885000000000001"/>
    <n v="6.5"/>
  </r>
  <r>
    <s v="728-47-9078"/>
    <x v="1"/>
    <x v="1"/>
    <x v="0"/>
    <x v="1"/>
    <x v="4"/>
    <x v="925"/>
    <x v="7"/>
    <n v="11.917999999999999"/>
    <n v="250.27799999999999"/>
    <x v="64"/>
    <x v="69"/>
    <x v="1"/>
    <n v="238.36"/>
    <n v="4.7619047620000003"/>
    <n v="11.917999999999999"/>
    <n v="9.8000000000000007"/>
  </r>
  <r>
    <s v="809-46-1866"/>
    <x v="0"/>
    <x v="0"/>
    <x v="1"/>
    <x v="1"/>
    <x v="0"/>
    <x v="926"/>
    <x v="7"/>
    <n v="11.63"/>
    <n v="244.23"/>
    <x v="54"/>
    <x v="292"/>
    <x v="1"/>
    <n v="232.6"/>
    <n v="4.7619047620000003"/>
    <n v="11.63"/>
    <n v="8.4"/>
  </r>
  <r>
    <s v="139-32-4183"/>
    <x v="0"/>
    <x v="0"/>
    <x v="0"/>
    <x v="0"/>
    <x v="3"/>
    <x v="927"/>
    <x v="9"/>
    <n v="43.866"/>
    <n v="921.18600000000004"/>
    <x v="86"/>
    <x v="401"/>
    <x v="0"/>
    <n v="877.32"/>
    <n v="4.7619047620000003"/>
    <n v="43.866"/>
    <n v="7.4"/>
  </r>
  <r>
    <s v="148-41-7930"/>
    <x v="1"/>
    <x v="1"/>
    <x v="1"/>
    <x v="1"/>
    <x v="0"/>
    <x v="121"/>
    <x v="0"/>
    <n v="34.985999999999997"/>
    <n v="734.70600000000002"/>
    <x v="54"/>
    <x v="373"/>
    <x v="1"/>
    <n v="699.72"/>
    <n v="4.7619047620000003"/>
    <n v="34.985999999999997"/>
    <n v="6.1"/>
  </r>
  <r>
    <s v="189-40-5216"/>
    <x v="1"/>
    <x v="1"/>
    <x v="1"/>
    <x v="1"/>
    <x v="1"/>
    <x v="928"/>
    <x v="0"/>
    <n v="33.729500000000002"/>
    <n v="708.31949999999995"/>
    <x v="51"/>
    <x v="335"/>
    <x v="1"/>
    <n v="674.59"/>
    <n v="4.7619047620000003"/>
    <n v="33.729500000000002"/>
    <n v="6"/>
  </r>
  <r>
    <s v="374-38-5555"/>
    <x v="2"/>
    <x v="2"/>
    <x v="1"/>
    <x v="0"/>
    <x v="5"/>
    <x v="929"/>
    <x v="1"/>
    <n v="15.9275"/>
    <n v="334.47750000000002"/>
    <x v="13"/>
    <x v="171"/>
    <x v="0"/>
    <n v="318.55"/>
    <n v="4.7619047620000003"/>
    <n v="15.9275"/>
    <n v="8.5"/>
  </r>
  <r>
    <s v="764-44-8999"/>
    <x v="2"/>
    <x v="2"/>
    <x v="1"/>
    <x v="0"/>
    <x v="0"/>
    <x v="930"/>
    <x v="5"/>
    <n v="1.476"/>
    <n v="30.995999999999999"/>
    <x v="67"/>
    <x v="51"/>
    <x v="0"/>
    <n v="29.52"/>
    <n v="4.7619047620000003"/>
    <n v="1.476"/>
    <n v="4.3"/>
  </r>
  <r>
    <s v="552-44-5977"/>
    <x v="2"/>
    <x v="2"/>
    <x v="0"/>
    <x v="1"/>
    <x v="0"/>
    <x v="931"/>
    <x v="2"/>
    <n v="24.8"/>
    <n v="520.79999999999995"/>
    <x v="75"/>
    <x v="168"/>
    <x v="2"/>
    <n v="496"/>
    <n v="4.7619047620000003"/>
    <n v="24.8"/>
    <n v="6.2"/>
  </r>
  <r>
    <s v="267-62-7380"/>
    <x v="1"/>
    <x v="1"/>
    <x v="0"/>
    <x v="1"/>
    <x v="1"/>
    <x v="932"/>
    <x v="4"/>
    <n v="41.17"/>
    <n v="864.57"/>
    <x v="14"/>
    <x v="505"/>
    <x v="0"/>
    <n v="823.4"/>
    <n v="4.7619047620000003"/>
    <n v="41.17"/>
    <n v="4.3"/>
  </r>
  <r>
    <s v="430-53-4718"/>
    <x v="2"/>
    <x v="2"/>
    <x v="0"/>
    <x v="1"/>
    <x v="0"/>
    <x v="933"/>
    <x v="2"/>
    <n v="30.148"/>
    <n v="633.10799999999995"/>
    <x v="26"/>
    <x v="52"/>
    <x v="2"/>
    <n v="602.96"/>
    <n v="4.7619047620000003"/>
    <n v="30.148"/>
    <n v="8.4"/>
  </r>
  <r>
    <s v="886-18-2897"/>
    <x v="0"/>
    <x v="0"/>
    <x v="1"/>
    <x v="0"/>
    <x v="4"/>
    <x v="934"/>
    <x v="1"/>
    <n v="14.14"/>
    <n v="296.94"/>
    <x v="23"/>
    <x v="216"/>
    <x v="2"/>
    <n v="282.8"/>
    <n v="4.7619047620000003"/>
    <n v="14.14"/>
    <n v="4.5"/>
  </r>
  <r>
    <s v="602-16-6955"/>
    <x v="2"/>
    <x v="2"/>
    <x v="1"/>
    <x v="0"/>
    <x v="3"/>
    <x v="935"/>
    <x v="4"/>
    <n v="38.299999999999997"/>
    <n v="804.3"/>
    <x v="46"/>
    <x v="397"/>
    <x v="0"/>
    <n v="766"/>
    <n v="4.7619047620000003"/>
    <n v="38.299999999999997"/>
    <n v="6"/>
  </r>
  <r>
    <s v="745-74-0715"/>
    <x v="0"/>
    <x v="0"/>
    <x v="1"/>
    <x v="1"/>
    <x v="1"/>
    <x v="936"/>
    <x v="5"/>
    <n v="5.8029999999999999"/>
    <n v="121.863"/>
    <x v="24"/>
    <x v="351"/>
    <x v="0"/>
    <n v="116.06"/>
    <n v="4.7619047620000003"/>
    <n v="5.8029999999999999"/>
    <n v="8.8000000000000007"/>
  </r>
  <r>
    <s v="690-01-6631"/>
    <x v="2"/>
    <x v="2"/>
    <x v="1"/>
    <x v="1"/>
    <x v="5"/>
    <x v="937"/>
    <x v="4"/>
    <n v="8.7449999999999992"/>
    <n v="183.64500000000001"/>
    <x v="70"/>
    <x v="476"/>
    <x v="0"/>
    <n v="174.9"/>
    <n v="4.7619047620000003"/>
    <n v="8.7449999999999992"/>
    <n v="6.6"/>
  </r>
  <r>
    <s v="652-49-6720"/>
    <x v="1"/>
    <x v="1"/>
    <x v="0"/>
    <x v="0"/>
    <x v="1"/>
    <x v="534"/>
    <x v="8"/>
    <n v="3.0474999999999999"/>
    <n v="63.997500000000002"/>
    <x v="67"/>
    <x v="335"/>
    <x v="0"/>
    <n v="60.95"/>
    <n v="4.7619047620000003"/>
    <n v="3.0474999999999999"/>
    <n v="5.9"/>
  </r>
  <r>
    <s v="233-67-5758"/>
    <x v="1"/>
    <x v="1"/>
    <x v="1"/>
    <x v="1"/>
    <x v="0"/>
    <x v="938"/>
    <x v="8"/>
    <n v="2.0175000000000001"/>
    <n v="42.3675"/>
    <x v="71"/>
    <x v="190"/>
    <x v="0"/>
    <n v="40.35"/>
    <n v="4.7619047620000003"/>
    <n v="2.0175000000000001"/>
    <n v="6.2"/>
  </r>
  <r>
    <s v="303-96-2227"/>
    <x v="2"/>
    <x v="2"/>
    <x v="1"/>
    <x v="0"/>
    <x v="2"/>
    <x v="939"/>
    <x v="4"/>
    <n v="48.69"/>
    <n v="1022.49"/>
    <x v="22"/>
    <x v="361"/>
    <x v="0"/>
    <n v="973.8"/>
    <n v="4.7619047620000003"/>
    <n v="48.69"/>
    <n v="4.4000000000000004"/>
  </r>
  <r>
    <s v="727-02-1313"/>
    <x v="0"/>
    <x v="0"/>
    <x v="0"/>
    <x v="1"/>
    <x v="4"/>
    <x v="940"/>
    <x v="8"/>
    <n v="1.5920000000000001"/>
    <n v="33.432000000000002"/>
    <x v="57"/>
    <x v="93"/>
    <x v="1"/>
    <n v="31.84"/>
    <n v="4.7619047620000003"/>
    <n v="1.5920000000000001"/>
    <n v="7.7"/>
  </r>
  <r>
    <s v="347-56-2442"/>
    <x v="0"/>
    <x v="0"/>
    <x v="1"/>
    <x v="1"/>
    <x v="2"/>
    <x v="941"/>
    <x v="8"/>
    <n v="3.2909999999999999"/>
    <n v="69.111000000000004"/>
    <x v="70"/>
    <x v="439"/>
    <x v="1"/>
    <n v="65.819999999999993"/>
    <n v="4.7619047620000003"/>
    <n v="3.2909999999999999"/>
    <n v="4.0999999999999996"/>
  </r>
  <r>
    <s v="849-09-3807"/>
    <x v="0"/>
    <x v="0"/>
    <x v="0"/>
    <x v="0"/>
    <x v="5"/>
    <x v="942"/>
    <x v="0"/>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DF3501-0439-46BE-8973-9312A19A46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0">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2A4B0-572A-4B6B-B86E-E41A490155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Quantity" fld="7"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D1B447-EB2C-4E45-8159-8A281EF1B4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Quantity" fld="7" baseField="0" baseItem="0"/>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B42398-57D0-4326-8040-EB6056C630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0">
    <pivotField showAll="0"/>
    <pivotField showAll="0"/>
    <pivotField axis="axisRow" showAll="0">
      <items count="4">
        <item x="2"/>
        <item x="1"/>
        <item x="0"/>
        <item t="default"/>
      </items>
    </pivotField>
    <pivotField showAll="0">
      <items count="3">
        <item x="0"/>
        <item x="1"/>
        <item t="default"/>
      </items>
    </pivotField>
    <pivotField showAll="0"/>
    <pivotField multipleItemSelectionAllowed="1"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E1CA68-A1E0-4F7A-8678-F7890E0857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 fld="9" baseField="0" baseItem="0"/>
  </dataField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49A7A9-14D4-431B-B6A7-62F7E978969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items count="11">
        <item x="8"/>
        <item x="5"/>
        <item x="6"/>
        <item x="7"/>
        <item x="1"/>
        <item x="3"/>
        <item x="0"/>
        <item x="2"/>
        <item x="9"/>
        <item x="4"/>
        <item t="default"/>
      </items>
    </pivotField>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15">
        <item x="0"/>
        <item x="1"/>
        <item x="2"/>
        <item x="3"/>
        <item x="4"/>
        <item x="5"/>
        <item x="6"/>
        <item x="7"/>
        <item x="8"/>
        <item x="9"/>
        <item x="10"/>
        <item x="11"/>
        <item x="12"/>
        <item x="13"/>
        <item t="default"/>
      </items>
    </pivotField>
  </pivotFields>
  <rowFields count="1">
    <field x="19"/>
  </rowFields>
  <rowItems count="4">
    <i>
      <x v="1"/>
    </i>
    <i>
      <x v="2"/>
    </i>
    <i>
      <x v="3"/>
    </i>
    <i t="grand">
      <x/>
    </i>
  </rowItems>
  <colItems count="1">
    <i/>
  </colItems>
  <dataFields count="1">
    <dataField name="Sum of Total" fld="9" baseField="0" baseItem="0"/>
  </dataField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D70362-8A6B-4161-976A-27CCC301041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97478C-1DA8-4DA2-831E-BB7F2AE179B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20">
    <pivotField showAll="0"/>
    <pivotField showAll="0"/>
    <pivotField showAll="0">
      <items count="4">
        <item x="2"/>
        <item x="1"/>
        <item x="0"/>
        <item t="default"/>
      </items>
    </pivotField>
    <pivotField axis="axisRow"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fld="9"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E3B781-373A-48AD-8AAC-3ED94BF057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20">
    <pivotField showAll="0"/>
    <pivotField axis="axisRow" showAll="0">
      <items count="4">
        <item x="0"/>
        <item x="2"/>
        <item x="1"/>
        <item t="default"/>
      </items>
    </pivotField>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s>
  <rowFields count="2">
    <field x="2"/>
    <field x="1"/>
  </rowFields>
  <rowItems count="7">
    <i>
      <x/>
    </i>
    <i r="1">
      <x v="1"/>
    </i>
    <i>
      <x v="1"/>
    </i>
    <i r="1">
      <x v="2"/>
    </i>
    <i>
      <x v="2"/>
    </i>
    <i r="1">
      <x/>
    </i>
    <i t="grand">
      <x/>
    </i>
  </rowItems>
  <colItems count="1">
    <i/>
  </colItems>
  <dataFields count="1">
    <dataField name="Sum of Quantity" fld="7" baseField="0" baseItem="0"/>
  </dataFields>
  <chartFormats count="16">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3">
          <reference field="4294967294" count="1" selected="0">
            <x v="0"/>
          </reference>
          <reference field="1" count="1" selected="0">
            <x v="1"/>
          </reference>
          <reference field="2" count="1" selected="0">
            <x v="0"/>
          </reference>
        </references>
      </pivotArea>
    </chartFormat>
    <chartFormat chart="4" format="7">
      <pivotArea type="data" outline="0" fieldPosition="0">
        <references count="3">
          <reference field="4294967294" count="1" selected="0">
            <x v="0"/>
          </reference>
          <reference field="1" count="1" selected="0">
            <x v="2"/>
          </reference>
          <reference field="2" count="1" selected="0">
            <x v="1"/>
          </reference>
        </references>
      </pivotArea>
    </chartFormat>
    <chartFormat chart="4" format="8">
      <pivotArea type="data" outline="0" fieldPosition="0">
        <references count="3">
          <reference field="4294967294" count="1" selected="0">
            <x v="0"/>
          </reference>
          <reference field="1" count="1" selected="0">
            <x v="0"/>
          </reference>
          <reference field="2"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3">
          <reference field="4294967294" count="1" selected="0">
            <x v="0"/>
          </reference>
          <reference field="1" count="1" selected="0">
            <x v="1"/>
          </reference>
          <reference field="2" count="1" selected="0">
            <x v="0"/>
          </reference>
        </references>
      </pivotArea>
    </chartFormat>
    <chartFormat chart="6" format="11">
      <pivotArea type="data" outline="0" fieldPosition="0">
        <references count="3">
          <reference field="4294967294" count="1" selected="0">
            <x v="0"/>
          </reference>
          <reference field="1" count="1" selected="0">
            <x v="2"/>
          </reference>
          <reference field="2" count="1" selected="0">
            <x v="1"/>
          </reference>
        </references>
      </pivotArea>
    </chartFormat>
    <chartFormat chart="6" format="12">
      <pivotArea type="data" outline="0" fieldPosition="0">
        <references count="3">
          <reference field="4294967294" count="1" selected="0">
            <x v="0"/>
          </reference>
          <reference field="1" count="1" selected="0">
            <x v="0"/>
          </reference>
          <reference field="2" count="1" selected="0">
            <x v="2"/>
          </reference>
        </references>
      </pivotArea>
    </chartFormat>
    <chartFormat chart="0" format="1">
      <pivotArea type="data" outline="0" fieldPosition="0">
        <references count="3">
          <reference field="4294967294" count="1" selected="0">
            <x v="0"/>
          </reference>
          <reference field="1" count="1" selected="0">
            <x v="1"/>
          </reference>
          <reference field="2" count="1" selected="0">
            <x v="0"/>
          </reference>
        </references>
      </pivotArea>
    </chartFormat>
    <chartFormat chart="0" format="2">
      <pivotArea type="data" outline="0" fieldPosition="0">
        <references count="3">
          <reference field="4294967294" count="1" selected="0">
            <x v="0"/>
          </reference>
          <reference field="1" count="1" selected="0">
            <x v="2"/>
          </reference>
          <reference field="2" count="1" selected="0">
            <x v="1"/>
          </reference>
        </references>
      </pivotArea>
    </chartFormat>
    <chartFormat chart="0" format="3">
      <pivotArea type="data" outline="0" fieldPosition="0">
        <references count="3">
          <reference field="4294967294" count="1" selected="0">
            <x v="0"/>
          </reference>
          <reference field="1" count="1" selected="0">
            <x v="0"/>
          </reference>
          <reference field="2"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3">
          <reference field="4294967294" count="1" selected="0">
            <x v="0"/>
          </reference>
          <reference field="1" count="1" selected="0">
            <x v="1"/>
          </reference>
          <reference field="2" count="1" selected="0">
            <x v="0"/>
          </reference>
        </references>
      </pivotArea>
    </chartFormat>
    <chartFormat chart="9" format="2">
      <pivotArea type="data" outline="0" fieldPosition="0">
        <references count="3">
          <reference field="4294967294" count="1" selected="0">
            <x v="0"/>
          </reference>
          <reference field="1" count="1" selected="0">
            <x v="2"/>
          </reference>
          <reference field="2" count="1" selected="0">
            <x v="1"/>
          </reference>
        </references>
      </pivotArea>
    </chartFormat>
    <chartFormat chart="9" format="3">
      <pivotArea type="data" outline="0" fieldPosition="0">
        <references count="3">
          <reference field="4294967294" count="1" selected="0">
            <x v="0"/>
          </reference>
          <reference field="1"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CFA1CC-9237-4F24-9F79-9ECECD5954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dataField="1"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AF7F3A-8F0B-4326-A719-1B658D539E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0">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dataField="1"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Ratin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8F4B16-81F0-410B-A3C3-35CA70A19DA4}"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2B82064-6888-42B8-8641-2B9F7750BEAC}" sourceName="City">
  <pivotTables>
    <pivotTable tabId="13" name="PivotTable10"/>
    <pivotTable tabId="16" name="PivotTable1"/>
    <pivotTable tabId="3" name="PivotTable1"/>
    <pivotTable tabId="4" name="PivotTable2"/>
    <pivotTable tabId="5" name="PivotTable3"/>
    <pivotTable tabId="6" name="PivotTable4"/>
    <pivotTable tabId="8" name="PivotTable6"/>
    <pivotTable tabId="9" name="PivotTable7"/>
    <pivotTable tabId="10" name="PivotTable8"/>
    <pivotTable tabId="17" name="PivotTable1"/>
    <pivotTable tabId="18" name="PivotTable2"/>
  </pivotTables>
  <data>
    <tabular pivotCacheId="7018247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6EC6E08E-8813-4E23-B2C3-D30DF3E0F466}" sourceName="Product line">
  <pivotTables>
    <pivotTable tabId="10" name="PivotTable8"/>
    <pivotTable tabId="13" name="PivotTable10"/>
    <pivotTable tabId="16" name="PivotTable1"/>
    <pivotTable tabId="3" name="PivotTable1"/>
    <pivotTable tabId="4" name="PivotTable2"/>
    <pivotTable tabId="5" name="PivotTable3"/>
    <pivotTable tabId="6" name="PivotTable4"/>
    <pivotTable tabId="8" name="PivotTable6"/>
    <pivotTable tabId="9" name="PivotTable7"/>
    <pivotTable tabId="17" name="PivotTable1"/>
    <pivotTable tabId="18" name="PivotTable2"/>
  </pivotTables>
  <data>
    <tabular pivotCacheId="70182479">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C0864B70-034D-4598-B79C-431DD26FADE0}" sourceName="Payment">
  <pivotTables>
    <pivotTable tabId="4" name="PivotTable2"/>
  </pivotTables>
  <data>
    <tabular pivotCacheId="7018247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1" xr10:uid="{47F7F6ED-0871-4BFC-AE52-24EB9215E2D6}" sourceName="Payment">
  <pivotTables>
    <pivotTable tabId="5" name="PivotTable3"/>
  </pivotTables>
  <data>
    <tabular pivotCacheId="70182479">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62CF493B-69D5-4014-B4B3-F51ED8395941}" sourceName="Customer type">
  <pivotTables>
    <pivotTable tabId="6" name="PivotTable4"/>
    <pivotTable tabId="13" name="PivotTable10"/>
    <pivotTable tabId="16" name="PivotTable1"/>
    <pivotTable tabId="17" name="PivotTable1"/>
    <pivotTable tabId="18" name="PivotTable2"/>
    <pivotTable tabId="3" name="PivotTable1"/>
    <pivotTable tabId="4" name="PivotTable2"/>
    <pivotTable tabId="5" name="PivotTable3"/>
    <pivotTable tabId="8" name="PivotTable6"/>
    <pivotTable tabId="9" name="PivotTable7"/>
    <pivotTable tabId="10" name="PivotTable8"/>
  </pivotTables>
  <data>
    <tabular pivotCacheId="701824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9FAE1A1B-75F9-4EAF-AC34-2AA0DF55D7D0}" cache="Slicer_Payment" caption="Pay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1" xr10:uid="{9856A7AF-A706-486F-A578-AF1BECCE2970}" cache="Slicer_Payment1" caption="Paymen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A776BAE-8E14-41B0-85B8-4680482A3B41}" cache="Slicer_City" caption="City" rowHeight="247650"/>
  <slicer name="Product line 1" xr10:uid="{25E7A13E-DC34-43F2-ABD7-D0A2477891B3}" cache="Slicer_Product_line" caption="Product line" rowHeight="182880"/>
  <slicer name="Customer type 2" xr10:uid="{A06C77A0-DB8E-404E-8934-D6F5C7E115EA}" cache="Slicer_Customer_type1" caption="Customer type"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AD7981A7-B39D-4730-8627-96032207E3B1}" cache="Slicer_Customer_type1" caption="Customer type"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793B4D07-187B-45F5-9E86-31C1A0AE540D}" cache="Slicer_Product_line" caption="Product lin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766F8C-F1DD-4FCE-AE3F-629624BB593D}" name="Copy_of_supermarket_sales___Sheet1__1" displayName="Copy_of_supermarket_sales___Sheet1__1" ref="A1:Q1001" tableType="queryTable" totalsRowShown="0">
  <autoFilter ref="A1:Q1001" xr:uid="{93766F8C-F1DD-4FCE-AE3F-629624BB593D}"/>
  <tableColumns count="17">
    <tableColumn id="1" xr3:uid="{BB982CFD-6767-42D5-920F-4E37009EDA39}" uniqueName="1" name="Invoice ID" queryTableFieldId="1" dataDxfId="8"/>
    <tableColumn id="2" xr3:uid="{ADA5D80A-201C-4104-A600-B24F5CBB4F1D}" uniqueName="2" name="Branch" queryTableFieldId="2" dataDxfId="7"/>
    <tableColumn id="3" xr3:uid="{F39336BD-55E3-4719-A1FF-0A3B40D1D20A}" uniqueName="3" name="City" queryTableFieldId="3" dataDxfId="6"/>
    <tableColumn id="4" xr3:uid="{B1116181-1930-49F1-868D-1E80C63FBB5C}" uniqueName="4" name="Customer type" queryTableFieldId="4" dataDxfId="5"/>
    <tableColumn id="5" xr3:uid="{27AC6638-F6A3-4DAA-83D9-801CE23CA554}" uniqueName="5" name="Gender" queryTableFieldId="5" dataDxfId="4"/>
    <tableColumn id="6" xr3:uid="{08A7B147-E49D-4570-8412-4519975DAA22}" uniqueName="6" name="Product line" queryTableFieldId="6" dataDxfId="3"/>
    <tableColumn id="7" xr3:uid="{E6C8830C-9B04-4AA0-9CCE-75FA109A5920}" uniqueName="7" name="Unit price" queryTableFieldId="7"/>
    <tableColumn id="8" xr3:uid="{480D3B04-F0FF-4BCB-8C3A-B50D272591E9}" uniqueName="8" name="Quantity" queryTableFieldId="8"/>
    <tableColumn id="9" xr3:uid="{796E1221-CCEB-4C20-9CBE-197D16FCC6C3}" uniqueName="9" name="Tax 5%" queryTableFieldId="9"/>
    <tableColumn id="10" xr3:uid="{6EBF5E0F-0BAB-4062-B576-FA923E16D31B}" uniqueName="10" name="Total" queryTableFieldId="10"/>
    <tableColumn id="11" xr3:uid="{B3625E86-4559-44D6-BF8A-35C289A5759A}" uniqueName="11" name="Date" queryTableFieldId="11" dataDxfId="2"/>
    <tableColumn id="12" xr3:uid="{D03A2CB1-20E4-4A1B-91CD-D0376548F9E0}" uniqueName="12" name="Time" queryTableFieldId="12" dataDxfId="1"/>
    <tableColumn id="13" xr3:uid="{9EDA829C-123E-47BB-9F31-8552B5667CDB}" uniqueName="13" name="Payment" queryTableFieldId="13" dataDxfId="0"/>
    <tableColumn id="14" xr3:uid="{A4E93FDC-D605-45CA-811B-7AE78AD8B869}" uniqueName="14" name="cogs" queryTableFieldId="14"/>
    <tableColumn id="15" xr3:uid="{F084D703-724E-4960-900A-1926790B1E5B}" uniqueName="15" name="gross margin percentage" queryTableFieldId="15"/>
    <tableColumn id="16" xr3:uid="{88331D2B-7B38-4583-AC4B-46E803B802FB}" uniqueName="16" name="gross income" queryTableFieldId="16"/>
    <tableColumn id="17" xr3:uid="{450F5B2F-1BA1-441C-947D-7FCB38B09E70}"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5AE3-D95D-462B-972F-03019B09D6E3}">
  <dimension ref="A3:B9"/>
  <sheetViews>
    <sheetView workbookViewId="0">
      <selection activeCell="B10" sqref="B10"/>
    </sheetView>
  </sheetViews>
  <sheetFormatPr defaultRowHeight="14.4" x14ac:dyDescent="0.3"/>
  <cols>
    <col min="1" max="1" width="12.44140625" bestFit="1" customWidth="1"/>
    <col min="2" max="2" width="12" bestFit="1" customWidth="1"/>
    <col min="3" max="3" width="10.5546875" bestFit="1" customWidth="1"/>
  </cols>
  <sheetData>
    <row r="3" spans="1:2" x14ac:dyDescent="0.3">
      <c r="A3" s="3" t="s">
        <v>1036</v>
      </c>
      <c r="B3" t="s">
        <v>1041</v>
      </c>
    </row>
    <row r="4" spans="1:2" x14ac:dyDescent="0.3">
      <c r="A4" s="4" t="s">
        <v>43</v>
      </c>
      <c r="B4" s="24">
        <v>106197.67199999996</v>
      </c>
    </row>
    <row r="5" spans="1:2" x14ac:dyDescent="0.3">
      <c r="A5" s="4" t="s">
        <v>26</v>
      </c>
      <c r="B5" s="24">
        <v>110568.70649999994</v>
      </c>
    </row>
    <row r="6" spans="1:2" x14ac:dyDescent="0.3">
      <c r="A6" s="4" t="s">
        <v>19</v>
      </c>
      <c r="B6" s="24">
        <v>106200.37050000011</v>
      </c>
    </row>
    <row r="7" spans="1:2" x14ac:dyDescent="0.3">
      <c r="A7" s="4" t="s">
        <v>1037</v>
      </c>
      <c r="B7" s="24">
        <v>322966.74900000001</v>
      </c>
    </row>
    <row r="9" spans="1:2" x14ac:dyDescent="0.3">
      <c r="A9" s="4"/>
      <c r="B9" t="str">
        <f>A6</f>
        <v>Yangon</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3B3E5-E504-4821-B72F-178E2D3E4C4E}">
  <dimension ref="A1:E9"/>
  <sheetViews>
    <sheetView workbookViewId="0">
      <selection activeCell="A3" sqref="A3"/>
    </sheetView>
  </sheetViews>
  <sheetFormatPr defaultRowHeight="14.4" x14ac:dyDescent="0.3"/>
  <cols>
    <col min="1" max="1" width="12.44140625" bestFit="1" customWidth="1"/>
    <col min="2" max="2" width="14.21875" bestFit="1" customWidth="1"/>
    <col min="3" max="3" width="11.109375" bestFit="1" customWidth="1"/>
  </cols>
  <sheetData>
    <row r="1" spans="1:5" x14ac:dyDescent="0.3">
      <c r="E1" t="s">
        <v>1054</v>
      </c>
    </row>
    <row r="2" spans="1:5" x14ac:dyDescent="0.3">
      <c r="E2">
        <f>GETPIVOTDATA("Sum of Total",Sheet4!$A$3)</f>
        <v>322966.74900000007</v>
      </c>
    </row>
    <row r="3" spans="1:5" x14ac:dyDescent="0.3">
      <c r="A3" s="3" t="s">
        <v>1036</v>
      </c>
      <c r="B3" t="s">
        <v>1038</v>
      </c>
    </row>
    <row r="4" spans="1:5" x14ac:dyDescent="0.3">
      <c r="A4" s="4" t="s">
        <v>21</v>
      </c>
      <c r="B4" s="24">
        <v>2869</v>
      </c>
    </row>
    <row r="5" spans="1:5" x14ac:dyDescent="0.3">
      <c r="A5" s="4" t="s">
        <v>31</v>
      </c>
      <c r="B5" s="24">
        <v>2641</v>
      </c>
    </row>
    <row r="6" spans="1:5" x14ac:dyDescent="0.3">
      <c r="A6" s="4" t="s">
        <v>1037</v>
      </c>
      <c r="B6" s="24">
        <v>5510</v>
      </c>
    </row>
    <row r="8" spans="1:5" x14ac:dyDescent="0.3">
      <c r="A8" s="4" t="s">
        <v>1040</v>
      </c>
    </row>
    <row r="9" spans="1:5" x14ac:dyDescent="0.3">
      <c r="C9" s="6">
        <f>GETPIVOTDATA("Quantity",$A$3)</f>
        <v>5510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1E59-7516-4B42-AABB-ED231DEBE29A}">
  <dimension ref="A3:E15"/>
  <sheetViews>
    <sheetView workbookViewId="0">
      <selection activeCell="A3" sqref="A3"/>
    </sheetView>
  </sheetViews>
  <sheetFormatPr defaultRowHeight="14.4" x14ac:dyDescent="0.3"/>
  <cols>
    <col min="1" max="1" width="19.44140625" bestFit="1" customWidth="1"/>
    <col min="2" max="2" width="14.21875" bestFit="1" customWidth="1"/>
    <col min="3" max="3" width="11.109375" bestFit="1" customWidth="1"/>
  </cols>
  <sheetData>
    <row r="3" spans="1:5" x14ac:dyDescent="0.3">
      <c r="A3" s="3" t="s">
        <v>1036</v>
      </c>
      <c r="B3" t="s">
        <v>1038</v>
      </c>
      <c r="C3" t="s">
        <v>1041</v>
      </c>
    </row>
    <row r="4" spans="1:5" x14ac:dyDescent="0.3">
      <c r="A4" s="4" t="s">
        <v>28</v>
      </c>
      <c r="B4" s="24">
        <v>971</v>
      </c>
      <c r="C4" s="24">
        <v>54337.531500000005</v>
      </c>
    </row>
    <row r="5" spans="1:5" x14ac:dyDescent="0.3">
      <c r="A5" s="4" t="s">
        <v>46</v>
      </c>
      <c r="B5" s="24">
        <v>902</v>
      </c>
      <c r="C5" s="24">
        <v>54305.894999999997</v>
      </c>
    </row>
    <row r="6" spans="1:5" x14ac:dyDescent="0.3">
      <c r="A6" s="4" t="s">
        <v>44</v>
      </c>
      <c r="B6" s="24">
        <v>952</v>
      </c>
      <c r="C6" s="24">
        <v>56144.844000000005</v>
      </c>
    </row>
    <row r="7" spans="1:5" x14ac:dyDescent="0.3">
      <c r="A7" s="4" t="s">
        <v>22</v>
      </c>
      <c r="B7" s="24">
        <v>854</v>
      </c>
      <c r="C7" s="24">
        <v>49193.739000000016</v>
      </c>
    </row>
    <row r="8" spans="1:5" x14ac:dyDescent="0.3">
      <c r="A8" s="4" t="s">
        <v>32</v>
      </c>
      <c r="B8" s="24">
        <v>911</v>
      </c>
      <c r="C8" s="24">
        <v>53861.913000000008</v>
      </c>
    </row>
    <row r="9" spans="1:5" x14ac:dyDescent="0.3">
      <c r="A9" s="4" t="s">
        <v>36</v>
      </c>
      <c r="B9" s="24">
        <v>920</v>
      </c>
      <c r="C9" s="24">
        <v>55122.826499999996</v>
      </c>
    </row>
    <row r="10" spans="1:5" x14ac:dyDescent="0.3">
      <c r="A10" s="4" t="s">
        <v>1037</v>
      </c>
      <c r="B10" s="24">
        <v>5510</v>
      </c>
      <c r="C10" s="24">
        <v>322966.74900000007</v>
      </c>
    </row>
    <row r="12" spans="1:5" x14ac:dyDescent="0.3">
      <c r="A12" s="4" t="s">
        <v>1039</v>
      </c>
      <c r="C12">
        <f>GETPIVOTDATA("Sum of Total",$A$3)</f>
        <v>322966.74900000007</v>
      </c>
    </row>
    <row r="14" spans="1:5" x14ac:dyDescent="0.3">
      <c r="E14">
        <f>GETPIVOTDATA("Sum of Total",$A$3)</f>
        <v>322966.74900000007</v>
      </c>
    </row>
    <row r="15" spans="1:5" x14ac:dyDescent="0.3">
      <c r="B15">
        <f>GETPIVOTDATA("Sum of Quantity",$A$3)</f>
        <v>5510</v>
      </c>
      <c r="C15">
        <f>GETPIVOTDATA("Sum of Quantity",$A$3)</f>
        <v>5510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C41AE-F9F0-4E36-9B98-CEEB07AEFBFF}">
  <dimension ref="A1:W32"/>
  <sheetViews>
    <sheetView tabSelected="1" zoomScale="78" zoomScaleNormal="78" workbookViewId="0">
      <selection activeCell="AA8" sqref="AA8"/>
    </sheetView>
  </sheetViews>
  <sheetFormatPr defaultRowHeight="14.4" x14ac:dyDescent="0.3"/>
  <cols>
    <col min="1" max="16384" width="8.88671875" style="10"/>
  </cols>
  <sheetData>
    <row r="1" spans="1:23" x14ac:dyDescent="0.3">
      <c r="A1" s="8" t="s">
        <v>1053</v>
      </c>
      <c r="B1" s="9"/>
      <c r="C1" s="9"/>
      <c r="D1" s="9"/>
      <c r="E1" s="9"/>
      <c r="F1" s="9"/>
      <c r="G1" s="9"/>
      <c r="H1" s="9"/>
      <c r="I1" s="9"/>
      <c r="J1" s="9"/>
      <c r="K1" s="9"/>
      <c r="L1" s="9"/>
      <c r="M1" s="9"/>
      <c r="N1" s="9"/>
      <c r="O1" s="9"/>
      <c r="P1" s="9"/>
      <c r="Q1" s="9"/>
      <c r="R1" s="9"/>
      <c r="S1" s="9"/>
      <c r="T1" s="9"/>
      <c r="U1" s="9"/>
      <c r="V1" s="9"/>
      <c r="W1" s="9"/>
    </row>
    <row r="2" spans="1:23" x14ac:dyDescent="0.3">
      <c r="A2" s="9"/>
      <c r="B2" s="9"/>
      <c r="C2" s="9"/>
      <c r="D2" s="9"/>
      <c r="E2" s="9"/>
      <c r="F2" s="9"/>
      <c r="G2" s="9"/>
      <c r="H2" s="9"/>
      <c r="I2" s="9"/>
      <c r="J2" s="9"/>
      <c r="K2" s="9"/>
      <c r="L2" s="9"/>
      <c r="M2" s="9"/>
      <c r="N2" s="9"/>
      <c r="O2" s="9"/>
      <c r="P2" s="9"/>
      <c r="Q2" s="9"/>
      <c r="R2" s="9"/>
      <c r="S2" s="9"/>
      <c r="T2" s="9"/>
      <c r="U2" s="9"/>
      <c r="V2" s="9"/>
      <c r="W2" s="9"/>
    </row>
    <row r="3" spans="1:23" x14ac:dyDescent="0.3">
      <c r="A3" s="9"/>
      <c r="B3" s="9"/>
      <c r="C3" s="9"/>
      <c r="D3" s="9"/>
      <c r="E3" s="9"/>
      <c r="F3" s="9"/>
      <c r="G3" s="9"/>
      <c r="H3" s="9"/>
      <c r="I3" s="9"/>
      <c r="J3" s="9"/>
      <c r="K3" s="9"/>
      <c r="L3" s="9"/>
      <c r="M3" s="9"/>
      <c r="N3" s="9"/>
      <c r="O3" s="9"/>
      <c r="P3" s="9"/>
      <c r="Q3" s="9"/>
      <c r="R3" s="9"/>
      <c r="S3" s="9"/>
      <c r="T3" s="9"/>
      <c r="U3" s="9"/>
      <c r="V3" s="9"/>
      <c r="W3" s="9"/>
    </row>
    <row r="4" spans="1:23" x14ac:dyDescent="0.3">
      <c r="A4" s="11"/>
      <c r="B4" s="11"/>
      <c r="C4" s="11"/>
      <c r="D4" s="11"/>
      <c r="E4" s="11"/>
      <c r="F4" s="11"/>
      <c r="G4" s="11"/>
      <c r="H4" s="11"/>
      <c r="I4" s="11"/>
      <c r="J4" s="11"/>
      <c r="K4" s="11"/>
      <c r="L4" s="11"/>
      <c r="M4" s="11"/>
      <c r="N4" s="11"/>
      <c r="O4" s="11"/>
      <c r="P4" s="11"/>
      <c r="Q4" s="11"/>
      <c r="R4" s="11"/>
      <c r="S4" s="11"/>
      <c r="T4" s="11"/>
      <c r="U4" s="11"/>
      <c r="V4" s="11"/>
      <c r="W4" s="21"/>
    </row>
    <row r="5" spans="1:23" x14ac:dyDescent="0.3">
      <c r="A5" s="11"/>
      <c r="B5" s="11"/>
      <c r="C5" s="11"/>
      <c r="D5" s="11"/>
      <c r="E5" s="11"/>
      <c r="F5" s="11"/>
      <c r="G5" s="11"/>
      <c r="H5" s="11"/>
      <c r="I5" s="11"/>
      <c r="J5" s="11"/>
      <c r="K5" s="11"/>
      <c r="L5" s="11"/>
      <c r="M5" s="11"/>
      <c r="N5" s="11"/>
      <c r="O5" s="11"/>
      <c r="P5" s="11"/>
      <c r="Q5" s="11"/>
      <c r="R5" s="11"/>
      <c r="S5" s="11"/>
      <c r="T5" s="11"/>
      <c r="U5" s="11"/>
      <c r="V5" s="11"/>
      <c r="W5" s="21"/>
    </row>
    <row r="6" spans="1:23" x14ac:dyDescent="0.3">
      <c r="A6" s="11"/>
      <c r="B6" s="11"/>
      <c r="C6" s="11"/>
      <c r="D6" s="11"/>
      <c r="E6" s="11"/>
      <c r="F6" s="11"/>
      <c r="G6" s="11"/>
      <c r="H6" s="11"/>
      <c r="I6" s="11"/>
      <c r="J6" s="11"/>
      <c r="K6" s="11"/>
      <c r="L6" s="11"/>
      <c r="M6" s="11"/>
      <c r="N6" s="11"/>
      <c r="O6" s="11"/>
      <c r="P6" s="11"/>
      <c r="Q6" s="11"/>
      <c r="R6" s="11"/>
      <c r="S6" s="11"/>
      <c r="T6" s="11"/>
      <c r="U6" s="11"/>
      <c r="V6" s="11"/>
      <c r="W6" s="21"/>
    </row>
    <row r="7" spans="1:23" x14ac:dyDescent="0.3">
      <c r="A7" s="11"/>
      <c r="B7" s="11"/>
      <c r="C7" s="11"/>
      <c r="D7" s="11"/>
      <c r="E7" s="11"/>
      <c r="F7" s="11"/>
      <c r="G7" s="11"/>
      <c r="H7" s="11"/>
      <c r="I7" s="11"/>
      <c r="J7" s="11"/>
      <c r="K7" s="11"/>
      <c r="L7" s="11"/>
      <c r="M7" s="11"/>
      <c r="N7" s="11"/>
      <c r="O7" s="11"/>
      <c r="P7" s="11"/>
      <c r="Q7" s="11"/>
      <c r="R7" s="11"/>
      <c r="S7" s="11"/>
      <c r="T7" s="11"/>
      <c r="U7" s="11"/>
      <c r="V7" s="11"/>
      <c r="W7" s="21"/>
    </row>
    <row r="8" spans="1:23" x14ac:dyDescent="0.3">
      <c r="A8" s="11"/>
      <c r="B8" s="11"/>
      <c r="C8" s="11"/>
      <c r="D8" s="11"/>
      <c r="E8" s="11"/>
      <c r="F8" s="11"/>
      <c r="G8" s="11"/>
      <c r="H8" s="11"/>
      <c r="I8" s="11"/>
      <c r="J8" s="11"/>
      <c r="K8" s="11"/>
      <c r="L8" s="11"/>
      <c r="M8" s="11"/>
      <c r="N8" s="11"/>
      <c r="O8" s="11"/>
      <c r="P8" s="11"/>
      <c r="Q8" s="11"/>
      <c r="R8" s="11"/>
      <c r="S8" s="11"/>
      <c r="T8" s="11"/>
      <c r="U8" s="11"/>
      <c r="V8" s="11"/>
      <c r="W8" s="21"/>
    </row>
    <row r="9" spans="1:23" x14ac:dyDescent="0.3">
      <c r="A9" s="11"/>
      <c r="B9" s="11"/>
      <c r="C9" s="11"/>
      <c r="D9" s="11"/>
      <c r="E9" s="11"/>
      <c r="F9" s="11"/>
      <c r="G9" s="11"/>
      <c r="H9" s="11"/>
      <c r="I9" s="11"/>
      <c r="J9" s="11"/>
      <c r="K9" s="11"/>
      <c r="L9" s="11"/>
      <c r="M9" s="11"/>
      <c r="N9" s="11"/>
      <c r="O9" s="11"/>
      <c r="P9" s="11"/>
      <c r="Q9" s="11"/>
      <c r="R9" s="11"/>
      <c r="S9" s="11"/>
      <c r="T9" s="11"/>
      <c r="U9" s="11"/>
      <c r="V9" s="11"/>
      <c r="W9" s="21"/>
    </row>
    <row r="10" spans="1:23" x14ac:dyDescent="0.3">
      <c r="A10" s="11"/>
      <c r="B10" s="11"/>
      <c r="C10" s="11"/>
      <c r="D10" s="11"/>
      <c r="E10" s="11"/>
      <c r="F10" s="11"/>
      <c r="G10" s="11"/>
      <c r="H10" s="11"/>
      <c r="I10" s="11"/>
      <c r="J10" s="11"/>
      <c r="K10" s="11"/>
      <c r="L10" s="11"/>
      <c r="M10" s="11"/>
      <c r="N10" s="11"/>
      <c r="O10" s="11"/>
      <c r="P10" s="11"/>
      <c r="Q10" s="11"/>
      <c r="R10" s="11"/>
      <c r="S10" s="11"/>
      <c r="T10" s="11"/>
      <c r="U10" s="11"/>
      <c r="V10" s="11"/>
      <c r="W10" s="21"/>
    </row>
    <row r="11" spans="1:23" x14ac:dyDescent="0.3">
      <c r="A11" s="11"/>
      <c r="B11" s="11"/>
      <c r="C11" s="11"/>
      <c r="D11" s="11"/>
      <c r="E11" s="11"/>
      <c r="F11" s="11"/>
      <c r="G11" s="11"/>
      <c r="H11" s="11"/>
      <c r="I11" s="11"/>
      <c r="J11" s="11"/>
      <c r="K11" s="11"/>
      <c r="L11" s="11"/>
      <c r="M11" s="11"/>
      <c r="N11" s="11"/>
      <c r="O11" s="11"/>
      <c r="P11" s="11"/>
      <c r="Q11" s="11"/>
      <c r="R11" s="11"/>
      <c r="S11" s="11"/>
      <c r="T11" s="11"/>
      <c r="U11" s="11"/>
      <c r="V11" s="11"/>
      <c r="W11" s="21"/>
    </row>
    <row r="12" spans="1:23" x14ac:dyDescent="0.3">
      <c r="A12" s="11"/>
      <c r="B12" s="11"/>
      <c r="C12" s="11"/>
      <c r="D12" s="11"/>
      <c r="E12" s="11"/>
      <c r="F12" s="11"/>
      <c r="G12" s="11"/>
      <c r="H12" s="11"/>
      <c r="I12" s="11"/>
      <c r="J12" s="11"/>
      <c r="K12" s="11"/>
      <c r="L12" s="11"/>
      <c r="M12" s="11"/>
      <c r="N12" s="11"/>
      <c r="O12" s="11"/>
      <c r="P12" s="11"/>
      <c r="Q12" s="11"/>
      <c r="R12" s="11"/>
      <c r="S12" s="11"/>
      <c r="T12" s="11"/>
      <c r="U12" s="11"/>
      <c r="V12" s="11"/>
      <c r="W12" s="21"/>
    </row>
    <row r="13" spans="1:23" x14ac:dyDescent="0.3">
      <c r="A13" s="11"/>
      <c r="B13" s="11"/>
      <c r="C13" s="11"/>
      <c r="D13" s="11"/>
      <c r="E13" s="11"/>
      <c r="F13" s="11"/>
      <c r="G13" s="11"/>
      <c r="H13" s="11"/>
      <c r="I13" s="11"/>
      <c r="J13" s="11"/>
      <c r="K13" s="11"/>
      <c r="L13" s="11"/>
      <c r="M13" s="11"/>
      <c r="N13" s="11"/>
      <c r="O13" s="11"/>
      <c r="P13" s="11"/>
      <c r="Q13" s="11"/>
      <c r="R13" s="11"/>
      <c r="S13" s="11"/>
      <c r="T13" s="11"/>
      <c r="U13" s="11"/>
      <c r="V13" s="11"/>
      <c r="W13" s="21"/>
    </row>
    <row r="14" spans="1:23" x14ac:dyDescent="0.3">
      <c r="A14" s="11"/>
      <c r="B14" s="11"/>
      <c r="C14" s="11"/>
      <c r="D14" s="11"/>
      <c r="E14" s="11"/>
      <c r="F14" s="11"/>
      <c r="G14" s="11"/>
      <c r="H14" s="11"/>
      <c r="I14" s="11"/>
      <c r="J14" s="11"/>
      <c r="K14" s="11"/>
      <c r="L14" s="11"/>
      <c r="M14" s="11"/>
      <c r="N14" s="11"/>
      <c r="O14" s="11"/>
      <c r="P14" s="11"/>
      <c r="Q14" s="11"/>
      <c r="R14" s="11"/>
      <c r="S14" s="11"/>
      <c r="T14" s="11"/>
      <c r="U14" s="11"/>
      <c r="V14" s="11"/>
      <c r="W14" s="21"/>
    </row>
    <row r="15" spans="1:23" x14ac:dyDescent="0.3">
      <c r="A15" s="11"/>
      <c r="B15" s="11"/>
      <c r="C15" s="11"/>
      <c r="D15" s="11"/>
      <c r="E15" s="11"/>
      <c r="F15" s="11"/>
      <c r="G15" s="11"/>
      <c r="H15" s="11"/>
      <c r="I15" s="11"/>
      <c r="J15" s="11"/>
      <c r="K15" s="11"/>
      <c r="L15" s="11"/>
      <c r="M15" s="11"/>
      <c r="N15" s="11"/>
      <c r="O15" s="11"/>
      <c r="P15" s="11"/>
      <c r="Q15" s="11"/>
      <c r="R15" s="11"/>
      <c r="S15" s="11"/>
      <c r="T15" s="11"/>
      <c r="U15" s="11"/>
      <c r="V15" s="11"/>
      <c r="W15" s="21"/>
    </row>
    <row r="16" spans="1:23" x14ac:dyDescent="0.3">
      <c r="A16" s="11"/>
      <c r="B16" s="11"/>
      <c r="C16" s="11"/>
      <c r="D16" s="11"/>
      <c r="E16" s="11"/>
      <c r="F16" s="11"/>
      <c r="G16" s="11"/>
      <c r="H16" s="11"/>
      <c r="I16" s="11"/>
      <c r="J16" s="11"/>
      <c r="K16" s="11"/>
      <c r="L16" s="11"/>
      <c r="M16" s="11"/>
      <c r="N16" s="11"/>
      <c r="O16" s="11"/>
      <c r="P16" s="11"/>
      <c r="Q16" s="11"/>
      <c r="R16" s="11"/>
      <c r="S16" s="11"/>
      <c r="T16" s="11"/>
      <c r="U16" s="11"/>
      <c r="V16" s="11"/>
      <c r="W16" s="21"/>
    </row>
    <row r="17" spans="1:23" x14ac:dyDescent="0.3">
      <c r="A17" s="11"/>
      <c r="B17" s="11"/>
      <c r="C17" s="11"/>
      <c r="D17" s="11"/>
      <c r="E17" s="11"/>
      <c r="F17" s="11"/>
      <c r="G17" s="11"/>
      <c r="H17" s="11"/>
      <c r="I17" s="11"/>
      <c r="J17" s="11"/>
      <c r="K17" s="11"/>
      <c r="L17" s="11"/>
      <c r="M17" s="11"/>
      <c r="N17" s="11"/>
      <c r="O17" s="11"/>
      <c r="P17" s="11"/>
      <c r="Q17" s="11"/>
      <c r="R17" s="11"/>
      <c r="S17" s="11"/>
      <c r="T17" s="11"/>
      <c r="U17" s="11"/>
      <c r="V17" s="11"/>
      <c r="W17" s="21"/>
    </row>
    <row r="18" spans="1:23" x14ac:dyDescent="0.3">
      <c r="A18" s="11"/>
      <c r="B18" s="11"/>
      <c r="C18" s="11"/>
      <c r="D18" s="11"/>
      <c r="E18" s="11"/>
      <c r="F18" s="11"/>
      <c r="G18" s="11"/>
      <c r="H18" s="11"/>
      <c r="I18" s="11"/>
      <c r="J18" s="11"/>
      <c r="K18" s="11"/>
      <c r="L18" s="11"/>
      <c r="M18" s="11"/>
      <c r="N18" s="11"/>
      <c r="O18" s="11"/>
      <c r="P18" s="11"/>
      <c r="Q18" s="11"/>
      <c r="R18" s="11"/>
      <c r="S18" s="11"/>
      <c r="T18" s="11"/>
      <c r="U18" s="11"/>
      <c r="V18" s="11"/>
      <c r="W18" s="21"/>
    </row>
    <row r="19" spans="1:23" x14ac:dyDescent="0.3">
      <c r="A19" s="11"/>
      <c r="B19" s="11"/>
      <c r="C19" s="11"/>
      <c r="D19" s="11"/>
      <c r="E19" s="11"/>
      <c r="F19" s="11"/>
      <c r="G19" s="11"/>
      <c r="H19" s="11"/>
      <c r="I19" s="11"/>
      <c r="J19" s="11"/>
      <c r="K19" s="11"/>
      <c r="L19" s="11"/>
      <c r="M19" s="11"/>
      <c r="N19" s="11"/>
      <c r="O19" s="11"/>
      <c r="P19" s="11"/>
      <c r="Q19" s="11"/>
      <c r="R19" s="11"/>
      <c r="S19" s="11"/>
      <c r="T19" s="11"/>
      <c r="U19" s="11"/>
      <c r="V19" s="11"/>
      <c r="W19" s="21"/>
    </row>
    <row r="20" spans="1:23" x14ac:dyDescent="0.3">
      <c r="A20" s="11"/>
      <c r="B20" s="11"/>
      <c r="C20" s="11"/>
      <c r="D20" s="11"/>
      <c r="E20" s="11"/>
      <c r="F20" s="11"/>
      <c r="G20" s="11"/>
      <c r="H20" s="11"/>
      <c r="I20" s="11"/>
      <c r="J20" s="11"/>
      <c r="K20" s="11"/>
      <c r="L20" s="11"/>
      <c r="M20" s="11"/>
      <c r="N20" s="11"/>
      <c r="O20" s="11"/>
      <c r="P20" s="11"/>
      <c r="Q20" s="11"/>
      <c r="R20" s="11"/>
      <c r="S20" s="11"/>
      <c r="T20" s="11"/>
      <c r="U20" s="11"/>
      <c r="V20" s="11"/>
      <c r="W20" s="21"/>
    </row>
    <row r="21" spans="1:23" x14ac:dyDescent="0.3">
      <c r="A21" s="11"/>
      <c r="B21" s="11"/>
      <c r="C21" s="11"/>
      <c r="D21" s="11"/>
      <c r="E21" s="11"/>
      <c r="F21" s="11"/>
      <c r="G21" s="11"/>
      <c r="H21" s="11"/>
      <c r="I21" s="11"/>
      <c r="J21" s="11"/>
      <c r="K21" s="11"/>
      <c r="L21" s="11"/>
      <c r="M21" s="11"/>
      <c r="N21" s="11"/>
      <c r="O21" s="11"/>
      <c r="P21" s="11"/>
      <c r="Q21" s="11"/>
      <c r="R21" s="11"/>
      <c r="S21" s="11"/>
      <c r="T21" s="11"/>
      <c r="U21" s="11"/>
      <c r="V21" s="11"/>
      <c r="W21" s="21"/>
    </row>
    <row r="22" spans="1:23" x14ac:dyDescent="0.3">
      <c r="A22" s="11"/>
      <c r="B22" s="11"/>
      <c r="C22" s="11"/>
      <c r="D22" s="11"/>
      <c r="E22" s="11"/>
      <c r="F22" s="11"/>
      <c r="G22" s="11"/>
      <c r="H22" s="11"/>
      <c r="I22" s="11"/>
      <c r="J22" s="11"/>
      <c r="K22" s="11"/>
      <c r="L22" s="11"/>
      <c r="M22" s="11"/>
      <c r="N22" s="11"/>
      <c r="O22" s="11"/>
      <c r="P22" s="11"/>
      <c r="Q22" s="11"/>
      <c r="R22" s="11"/>
      <c r="S22" s="11"/>
      <c r="T22" s="11"/>
      <c r="U22" s="11"/>
      <c r="V22" s="11"/>
      <c r="W22" s="21"/>
    </row>
    <row r="23" spans="1:23" x14ac:dyDescent="0.3">
      <c r="A23" s="11"/>
      <c r="B23" s="11"/>
      <c r="C23" s="11"/>
      <c r="D23" s="11"/>
      <c r="E23" s="11"/>
      <c r="F23" s="11"/>
      <c r="G23" s="11"/>
      <c r="H23" s="11"/>
      <c r="I23" s="11"/>
      <c r="J23" s="11"/>
      <c r="K23" s="11"/>
      <c r="L23" s="11"/>
      <c r="M23" s="11"/>
      <c r="N23" s="11"/>
      <c r="O23" s="11"/>
      <c r="P23" s="11"/>
      <c r="Q23" s="11"/>
      <c r="R23" s="11"/>
      <c r="S23" s="11"/>
      <c r="T23" s="11"/>
      <c r="U23" s="11"/>
      <c r="V23" s="11"/>
      <c r="W23" s="21"/>
    </row>
    <row r="24" spans="1:23" x14ac:dyDescent="0.3">
      <c r="A24" s="11"/>
      <c r="B24" s="11"/>
      <c r="C24" s="11"/>
      <c r="D24" s="11"/>
      <c r="E24" s="11"/>
      <c r="F24" s="11"/>
      <c r="G24" s="11"/>
      <c r="H24" s="11"/>
      <c r="I24" s="11"/>
      <c r="J24" s="11"/>
      <c r="K24" s="11"/>
      <c r="L24" s="11"/>
      <c r="M24" s="11"/>
      <c r="N24" s="11"/>
      <c r="O24" s="11"/>
      <c r="P24" s="11"/>
      <c r="Q24" s="11"/>
      <c r="R24" s="11"/>
      <c r="S24" s="11"/>
      <c r="T24" s="11"/>
      <c r="U24" s="11"/>
      <c r="V24" s="11"/>
      <c r="W24" s="21"/>
    </row>
    <row r="25" spans="1:23" x14ac:dyDescent="0.3">
      <c r="A25" s="11"/>
      <c r="B25" s="11"/>
      <c r="C25" s="11"/>
      <c r="D25" s="11"/>
      <c r="E25" s="11"/>
      <c r="F25" s="11"/>
      <c r="G25" s="11"/>
      <c r="H25" s="11"/>
      <c r="I25" s="11"/>
      <c r="J25" s="11"/>
      <c r="K25" s="11"/>
      <c r="L25" s="11"/>
      <c r="M25" s="11"/>
      <c r="N25" s="11"/>
      <c r="O25" s="11"/>
      <c r="P25" s="11"/>
      <c r="Q25" s="11"/>
      <c r="R25" s="11"/>
      <c r="S25" s="11"/>
      <c r="T25" s="11"/>
      <c r="U25" s="11"/>
      <c r="V25" s="11"/>
      <c r="W25" s="21"/>
    </row>
    <row r="26" spans="1:23" x14ac:dyDescent="0.3">
      <c r="A26" s="11"/>
      <c r="B26" s="11"/>
      <c r="C26" s="11"/>
      <c r="D26" s="11"/>
      <c r="E26" s="11"/>
      <c r="F26" s="11"/>
      <c r="G26" s="11"/>
      <c r="H26" s="11"/>
      <c r="I26" s="11"/>
      <c r="J26" s="11"/>
      <c r="K26" s="11"/>
      <c r="L26" s="11"/>
      <c r="M26" s="11"/>
      <c r="N26" s="11"/>
      <c r="O26" s="11"/>
      <c r="P26" s="11"/>
      <c r="Q26" s="11"/>
      <c r="R26" s="11"/>
      <c r="S26" s="11"/>
      <c r="T26" s="11"/>
      <c r="U26" s="11"/>
      <c r="V26" s="11"/>
      <c r="W26" s="21"/>
    </row>
    <row r="27" spans="1:23" ht="15" thickBot="1" x14ac:dyDescent="0.35">
      <c r="A27" s="22"/>
      <c r="B27" s="22"/>
      <c r="C27" s="22"/>
      <c r="D27" s="22"/>
      <c r="E27" s="22"/>
      <c r="F27" s="22"/>
      <c r="G27" s="22"/>
      <c r="H27" s="22"/>
      <c r="I27" s="22"/>
      <c r="J27" s="22"/>
      <c r="K27" s="22"/>
      <c r="L27" s="22"/>
      <c r="M27" s="22"/>
      <c r="N27" s="22"/>
      <c r="O27" s="22"/>
      <c r="P27" s="22"/>
      <c r="Q27" s="22"/>
      <c r="R27" s="22"/>
      <c r="S27" s="22"/>
      <c r="T27" s="22"/>
      <c r="U27" s="22"/>
      <c r="V27" s="22"/>
      <c r="W27" s="23"/>
    </row>
    <row r="28" spans="1:23" x14ac:dyDescent="0.3">
      <c r="A28" s="13"/>
      <c r="B28" s="14"/>
      <c r="C28" s="14"/>
      <c r="D28" s="14"/>
      <c r="E28" s="14"/>
      <c r="F28" s="14"/>
      <c r="G28" s="14"/>
      <c r="H28" s="14"/>
      <c r="I28" s="14"/>
      <c r="J28" s="14"/>
      <c r="K28" s="14"/>
      <c r="L28" s="14"/>
      <c r="M28" s="14"/>
      <c r="N28" s="14"/>
      <c r="O28" s="14"/>
      <c r="P28" s="14"/>
      <c r="Q28" s="14"/>
      <c r="R28" s="14"/>
      <c r="S28" s="14"/>
      <c r="T28" s="14"/>
      <c r="U28" s="14"/>
      <c r="V28" s="14"/>
      <c r="W28" s="15"/>
    </row>
    <row r="29" spans="1:23" x14ac:dyDescent="0.3">
      <c r="A29" s="16"/>
      <c r="B29" s="12"/>
      <c r="C29" s="12"/>
      <c r="D29" s="12"/>
      <c r="E29" s="12"/>
      <c r="F29" s="12"/>
      <c r="G29" s="12"/>
      <c r="H29" s="12"/>
      <c r="I29" s="12"/>
      <c r="J29" s="12"/>
      <c r="K29" s="12"/>
      <c r="L29" s="12"/>
      <c r="M29" s="12"/>
      <c r="N29" s="12"/>
      <c r="O29" s="12"/>
      <c r="P29" s="12"/>
      <c r="Q29" s="12"/>
      <c r="R29" s="12"/>
      <c r="S29" s="12"/>
      <c r="T29" s="12"/>
      <c r="U29" s="12"/>
      <c r="V29" s="12"/>
      <c r="W29" s="17"/>
    </row>
    <row r="30" spans="1:23" x14ac:dyDescent="0.3">
      <c r="A30" s="16"/>
      <c r="B30" s="12"/>
      <c r="C30" s="12"/>
      <c r="D30" s="12"/>
      <c r="E30" s="12"/>
      <c r="F30" s="12"/>
      <c r="G30" s="12"/>
      <c r="H30" s="12"/>
      <c r="I30" s="12"/>
      <c r="J30" s="12"/>
      <c r="K30" s="12"/>
      <c r="L30" s="12"/>
      <c r="M30" s="12"/>
      <c r="N30" s="12"/>
      <c r="O30" s="12"/>
      <c r="P30" s="12"/>
      <c r="Q30" s="12"/>
      <c r="R30" s="12"/>
      <c r="S30" s="12"/>
      <c r="T30" s="12"/>
      <c r="U30" s="12"/>
      <c r="V30" s="12"/>
      <c r="W30" s="17"/>
    </row>
    <row r="31" spans="1:23" x14ac:dyDescent="0.3">
      <c r="A31" s="16"/>
      <c r="B31" s="12"/>
      <c r="C31" s="12"/>
      <c r="D31" s="12"/>
      <c r="E31" s="12"/>
      <c r="F31" s="12"/>
      <c r="G31" s="12"/>
      <c r="H31" s="12"/>
      <c r="I31" s="12"/>
      <c r="J31" s="12"/>
      <c r="K31" s="12"/>
      <c r="L31" s="12"/>
      <c r="M31" s="12"/>
      <c r="N31" s="12"/>
      <c r="O31" s="12"/>
      <c r="P31" s="12"/>
      <c r="Q31" s="12"/>
      <c r="R31" s="12"/>
      <c r="S31" s="12"/>
      <c r="T31" s="12"/>
      <c r="U31" s="12"/>
      <c r="V31" s="12"/>
      <c r="W31" s="17"/>
    </row>
    <row r="32" spans="1:23" ht="15" thickBot="1" x14ac:dyDescent="0.35">
      <c r="A32" s="18"/>
      <c r="B32" s="19"/>
      <c r="C32" s="19"/>
      <c r="D32" s="19"/>
      <c r="E32" s="19"/>
      <c r="F32" s="19"/>
      <c r="G32" s="19"/>
      <c r="H32" s="19"/>
      <c r="I32" s="19"/>
      <c r="J32" s="19"/>
      <c r="K32" s="19"/>
      <c r="L32" s="19"/>
      <c r="M32" s="19"/>
      <c r="N32" s="19"/>
      <c r="O32" s="19"/>
      <c r="P32" s="19"/>
      <c r="Q32" s="19"/>
      <c r="R32" s="19"/>
      <c r="S32" s="19"/>
      <c r="T32" s="19"/>
      <c r="U32" s="19"/>
      <c r="V32" s="19"/>
      <c r="W32" s="20"/>
    </row>
  </sheetData>
  <mergeCells count="3">
    <mergeCell ref="A1:W3"/>
    <mergeCell ref="A4:W27"/>
    <mergeCell ref="A28:W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D06B4-162E-4A85-9B57-E4E2699D7E1D}">
  <dimension ref="A3:B7"/>
  <sheetViews>
    <sheetView workbookViewId="0">
      <selection activeCell="A3" sqref="A3"/>
    </sheetView>
  </sheetViews>
  <sheetFormatPr defaultRowHeight="14.4" x14ac:dyDescent="0.3"/>
  <cols>
    <col min="1" max="1" width="12.44140625" bestFit="1" customWidth="1"/>
    <col min="2" max="2" width="12" bestFit="1" customWidth="1"/>
    <col min="3" max="3" width="15.5546875" bestFit="1" customWidth="1"/>
    <col min="4" max="4" width="17.5546875" bestFit="1" customWidth="1"/>
    <col min="5" max="5" width="16.109375" bestFit="1" customWidth="1"/>
    <col min="6" max="6" width="16.5546875" bestFit="1" customWidth="1"/>
    <col min="7" max="7" width="15.109375" bestFit="1" customWidth="1"/>
    <col min="8" max="8" width="12" bestFit="1" customWidth="1"/>
  </cols>
  <sheetData>
    <row r="3" spans="1:2" x14ac:dyDescent="0.3">
      <c r="A3" s="3" t="s">
        <v>1036</v>
      </c>
      <c r="B3" t="s">
        <v>1041</v>
      </c>
    </row>
    <row r="4" spans="1:2" x14ac:dyDescent="0.3">
      <c r="A4" s="4" t="s">
        <v>43</v>
      </c>
      <c r="B4" s="24">
        <v>106197.67199999996</v>
      </c>
    </row>
    <row r="5" spans="1:2" x14ac:dyDescent="0.3">
      <c r="A5" s="4" t="s">
        <v>26</v>
      </c>
      <c r="B5" s="24">
        <v>110568.70649999994</v>
      </c>
    </row>
    <row r="6" spans="1:2" x14ac:dyDescent="0.3">
      <c r="A6" s="4" t="s">
        <v>19</v>
      </c>
      <c r="B6" s="24">
        <v>106200.37050000011</v>
      </c>
    </row>
    <row r="7" spans="1:2" x14ac:dyDescent="0.3">
      <c r="A7" s="4" t="s">
        <v>1037</v>
      </c>
      <c r="B7" s="24">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69F1-E0CA-4C99-9B2E-691F5D529563}">
  <dimension ref="A3:C12"/>
  <sheetViews>
    <sheetView workbookViewId="0">
      <selection activeCell="C13" sqref="C13"/>
    </sheetView>
  </sheetViews>
  <sheetFormatPr defaultRowHeight="14.4" x14ac:dyDescent="0.3"/>
  <cols>
    <col min="1" max="1" width="12.44140625" bestFit="1" customWidth="1"/>
    <col min="2" max="2" width="11.109375" bestFit="1" customWidth="1"/>
  </cols>
  <sheetData>
    <row r="3" spans="1:3" x14ac:dyDescent="0.3">
      <c r="A3" s="3" t="s">
        <v>1036</v>
      </c>
      <c r="B3" t="s">
        <v>1041</v>
      </c>
    </row>
    <row r="4" spans="1:3" x14ac:dyDescent="0.3">
      <c r="A4" s="4" t="s">
        <v>29</v>
      </c>
      <c r="B4" s="24">
        <v>112206.56999999995</v>
      </c>
    </row>
    <row r="5" spans="1:3" x14ac:dyDescent="0.3">
      <c r="A5" s="4" t="s">
        <v>33</v>
      </c>
      <c r="B5" s="24">
        <v>100767.07200000006</v>
      </c>
    </row>
    <row r="6" spans="1:3" x14ac:dyDescent="0.3">
      <c r="A6" s="4" t="s">
        <v>23</v>
      </c>
      <c r="B6" s="24">
        <v>109993.107</v>
      </c>
    </row>
    <row r="7" spans="1:3" x14ac:dyDescent="0.3">
      <c r="A7" s="4" t="s">
        <v>1037</v>
      </c>
      <c r="B7" s="24">
        <v>322966.74900000001</v>
      </c>
    </row>
    <row r="9" spans="1:3" x14ac:dyDescent="0.3">
      <c r="A9" s="4" t="s">
        <v>1042</v>
      </c>
    </row>
    <row r="12" spans="1:3" x14ac:dyDescent="0.3">
      <c r="C12" s="7">
        <f>GETPIVOTDATA("Total",$A$3)</f>
        <v>322966.74900000001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9B9E6-E637-4BFE-AC00-3028E601F03C}">
  <dimension ref="A3:C11"/>
  <sheetViews>
    <sheetView workbookViewId="0">
      <selection activeCell="C12" sqref="C12"/>
    </sheetView>
  </sheetViews>
  <sheetFormatPr defaultRowHeight="14.4" x14ac:dyDescent="0.3"/>
  <cols>
    <col min="1" max="1" width="12.44140625" bestFit="1" customWidth="1"/>
    <col min="2" max="3" width="11.109375" bestFit="1" customWidth="1"/>
  </cols>
  <sheetData>
    <row r="3" spans="1:3" x14ac:dyDescent="0.3">
      <c r="A3" s="3" t="s">
        <v>1036</v>
      </c>
      <c r="B3" t="s">
        <v>1041</v>
      </c>
    </row>
    <row r="4" spans="1:3" x14ac:dyDescent="0.3">
      <c r="A4" s="4" t="s">
        <v>1044</v>
      </c>
      <c r="B4" s="24">
        <v>116291.86800000005</v>
      </c>
    </row>
    <row r="5" spans="1:3" x14ac:dyDescent="0.3">
      <c r="A5" s="4" t="s">
        <v>1045</v>
      </c>
      <c r="B5" s="24">
        <v>97219.373999999967</v>
      </c>
    </row>
    <row r="6" spans="1:3" x14ac:dyDescent="0.3">
      <c r="A6" s="4" t="s">
        <v>1046</v>
      </c>
      <c r="B6" s="24">
        <v>109455.50700000004</v>
      </c>
    </row>
    <row r="7" spans="1:3" x14ac:dyDescent="0.3">
      <c r="A7" s="4" t="s">
        <v>1037</v>
      </c>
      <c r="B7" s="24">
        <v>322966.74900000007</v>
      </c>
    </row>
    <row r="10" spans="1:3" x14ac:dyDescent="0.3">
      <c r="B10">
        <f>GETPIVOTDATA("Total",$A$3)</f>
        <v>322966.74900000007</v>
      </c>
    </row>
    <row r="11" spans="1:3" x14ac:dyDescent="0.3">
      <c r="C11" t="str">
        <f>A4</f>
        <v>Jan</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BB8BB-C537-4147-ACF8-B4378691660F}">
  <dimension ref="A3:C15"/>
  <sheetViews>
    <sheetView workbookViewId="0">
      <selection activeCell="C13" sqref="C13"/>
    </sheetView>
  </sheetViews>
  <sheetFormatPr defaultRowHeight="14.4" x14ac:dyDescent="0.3"/>
  <cols>
    <col min="1" max="1" width="19.44140625" bestFit="1" customWidth="1"/>
    <col min="2" max="2" width="18.109375" bestFit="1" customWidth="1"/>
  </cols>
  <sheetData>
    <row r="3" spans="1:3" x14ac:dyDescent="0.3">
      <c r="A3" s="3" t="s">
        <v>1036</v>
      </c>
      <c r="B3" t="s">
        <v>1047</v>
      </c>
    </row>
    <row r="4" spans="1:3" x14ac:dyDescent="0.3">
      <c r="A4" s="4" t="s">
        <v>28</v>
      </c>
      <c r="B4" s="24">
        <v>2587.5015000000017</v>
      </c>
    </row>
    <row r="5" spans="1:3" x14ac:dyDescent="0.3">
      <c r="A5" s="4" t="s">
        <v>46</v>
      </c>
      <c r="B5" s="24">
        <v>2585.9949999999999</v>
      </c>
    </row>
    <row r="6" spans="1:3" x14ac:dyDescent="0.3">
      <c r="A6" s="4" t="s">
        <v>44</v>
      </c>
      <c r="B6" s="24">
        <v>2673.5639999999994</v>
      </c>
    </row>
    <row r="7" spans="1:3" x14ac:dyDescent="0.3">
      <c r="A7" s="4" t="s">
        <v>22</v>
      </c>
      <c r="B7" s="24">
        <v>2342.5589999999993</v>
      </c>
    </row>
    <row r="8" spans="1:3" x14ac:dyDescent="0.3">
      <c r="A8" s="4" t="s">
        <v>32</v>
      </c>
      <c r="B8" s="24">
        <v>2564.8530000000019</v>
      </c>
    </row>
    <row r="9" spans="1:3" x14ac:dyDescent="0.3">
      <c r="A9" s="4" t="s">
        <v>36</v>
      </c>
      <c r="B9" s="24">
        <v>2624.8964999999994</v>
      </c>
    </row>
    <row r="10" spans="1:3" x14ac:dyDescent="0.3">
      <c r="A10" s="4" t="s">
        <v>1037</v>
      </c>
      <c r="B10" s="24">
        <v>15379.369000000002</v>
      </c>
    </row>
    <row r="12" spans="1:3" x14ac:dyDescent="0.3">
      <c r="A12" s="4" t="s">
        <v>1048</v>
      </c>
    </row>
    <row r="13" spans="1:3" x14ac:dyDescent="0.3">
      <c r="A13" s="4" t="s">
        <v>1049</v>
      </c>
      <c r="B13" t="s">
        <v>1050</v>
      </c>
      <c r="C13" s="6">
        <f>GETPIVOTDATA("gross income",$A$3)</f>
        <v>15379.369000000002</v>
      </c>
    </row>
    <row r="15" spans="1:3" x14ac:dyDescent="0.3">
      <c r="A15" s="4" t="s">
        <v>1051</v>
      </c>
      <c r="B15" t="s">
        <v>1052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C8A2-152D-4710-8A30-E239873CFF3D}">
  <dimension ref="A3:B6"/>
  <sheetViews>
    <sheetView workbookViewId="0">
      <selection activeCell="B3" sqref="B3"/>
    </sheetView>
  </sheetViews>
  <sheetFormatPr defaultRowHeight="14.4" x14ac:dyDescent="0.3"/>
  <cols>
    <col min="1" max="1" width="12.44140625" bestFit="1" customWidth="1"/>
    <col min="2" max="2" width="11.109375" bestFit="1" customWidth="1"/>
  </cols>
  <sheetData>
    <row r="3" spans="1:2" x14ac:dyDescent="0.3">
      <c r="A3" s="3" t="s">
        <v>1036</v>
      </c>
      <c r="B3" t="s">
        <v>1041</v>
      </c>
    </row>
    <row r="4" spans="1:2" x14ac:dyDescent="0.3">
      <c r="A4" s="4" t="s">
        <v>20</v>
      </c>
      <c r="B4" s="24">
        <v>164223.44400000002</v>
      </c>
    </row>
    <row r="5" spans="1:2" x14ac:dyDescent="0.3">
      <c r="A5" s="4" t="s">
        <v>27</v>
      </c>
      <c r="B5" s="24">
        <v>158743.30500000005</v>
      </c>
    </row>
    <row r="6" spans="1:2" x14ac:dyDescent="0.3">
      <c r="A6" s="4" t="s">
        <v>1037</v>
      </c>
      <c r="B6" s="24">
        <v>322966.74900000007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C0B7-1B57-4CBA-BD1E-831010FA6478}">
  <dimension ref="A3:B10"/>
  <sheetViews>
    <sheetView workbookViewId="0">
      <selection activeCell="N24" sqref="N24"/>
    </sheetView>
  </sheetViews>
  <sheetFormatPr defaultRowHeight="14.4" x14ac:dyDescent="0.3"/>
  <cols>
    <col min="1" max="1" width="12.44140625" bestFit="1" customWidth="1"/>
    <col min="2" max="2" width="14.21875" bestFit="1" customWidth="1"/>
  </cols>
  <sheetData>
    <row r="3" spans="1:2" x14ac:dyDescent="0.3">
      <c r="A3" s="3" t="s">
        <v>1036</v>
      </c>
      <c r="B3" t="s">
        <v>1038</v>
      </c>
    </row>
    <row r="4" spans="1:2" x14ac:dyDescent="0.3">
      <c r="A4" s="4" t="s">
        <v>43</v>
      </c>
      <c r="B4" s="24">
        <v>1820</v>
      </c>
    </row>
    <row r="5" spans="1:2" x14ac:dyDescent="0.3">
      <c r="A5" s="5" t="s">
        <v>42</v>
      </c>
      <c r="B5" s="24">
        <v>1820</v>
      </c>
    </row>
    <row r="6" spans="1:2" x14ac:dyDescent="0.3">
      <c r="A6" s="4" t="s">
        <v>26</v>
      </c>
      <c r="B6" s="24">
        <v>1831</v>
      </c>
    </row>
    <row r="7" spans="1:2" x14ac:dyDescent="0.3">
      <c r="A7" s="5" t="s">
        <v>25</v>
      </c>
      <c r="B7" s="24">
        <v>1831</v>
      </c>
    </row>
    <row r="8" spans="1:2" x14ac:dyDescent="0.3">
      <c r="A8" s="4" t="s">
        <v>19</v>
      </c>
      <c r="B8" s="24">
        <v>1859</v>
      </c>
    </row>
    <row r="9" spans="1:2" x14ac:dyDescent="0.3">
      <c r="A9" s="5" t="s">
        <v>18</v>
      </c>
      <c r="B9" s="24">
        <v>1859</v>
      </c>
    </row>
    <row r="10" spans="1:2" x14ac:dyDescent="0.3">
      <c r="A10" s="4" t="s">
        <v>1037</v>
      </c>
      <c r="B10" s="24">
        <v>5510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01BF-3C41-4299-B866-E7EE49E150D6}">
  <dimension ref="A3:B12"/>
  <sheetViews>
    <sheetView workbookViewId="0">
      <selection activeCell="M8" sqref="M8"/>
    </sheetView>
  </sheetViews>
  <sheetFormatPr defaultRowHeight="14.4" x14ac:dyDescent="0.3"/>
  <cols>
    <col min="1" max="1" width="19.44140625" bestFit="1" customWidth="1"/>
    <col min="2" max="2" width="15.109375" bestFit="1" customWidth="1"/>
  </cols>
  <sheetData>
    <row r="3" spans="1:2" x14ac:dyDescent="0.3">
      <c r="A3" s="3" t="s">
        <v>1036</v>
      </c>
      <c r="B3" t="s">
        <v>1055</v>
      </c>
    </row>
    <row r="4" spans="1:2" x14ac:dyDescent="0.3">
      <c r="A4" s="4" t="s">
        <v>28</v>
      </c>
      <c r="B4" s="24">
        <v>6.9247058823529404</v>
      </c>
    </row>
    <row r="5" spans="1:2" x14ac:dyDescent="0.3">
      <c r="A5" s="4" t="s">
        <v>46</v>
      </c>
      <c r="B5" s="24">
        <v>7.0292134831460666</v>
      </c>
    </row>
    <row r="6" spans="1:2" x14ac:dyDescent="0.3">
      <c r="A6" s="4" t="s">
        <v>44</v>
      </c>
      <c r="B6" s="24">
        <v>7.1132183908045983</v>
      </c>
    </row>
    <row r="7" spans="1:2" x14ac:dyDescent="0.3">
      <c r="A7" s="4" t="s">
        <v>22</v>
      </c>
      <c r="B7" s="24">
        <v>7.0032894736842124</v>
      </c>
    </row>
    <row r="8" spans="1:2" x14ac:dyDescent="0.3">
      <c r="A8" s="4" t="s">
        <v>32</v>
      </c>
      <c r="B8" s="24">
        <v>6.8375000000000004</v>
      </c>
    </row>
    <row r="9" spans="1:2" x14ac:dyDescent="0.3">
      <c r="A9" s="4" t="s">
        <v>36</v>
      </c>
      <c r="B9" s="24">
        <v>6.9162650602409643</v>
      </c>
    </row>
    <row r="10" spans="1:2" x14ac:dyDescent="0.3">
      <c r="A10" s="4" t="s">
        <v>1037</v>
      </c>
      <c r="B10" s="24">
        <v>6.972699999999997</v>
      </c>
    </row>
    <row r="12" spans="1:2" x14ac:dyDescent="0.3">
      <c r="B12">
        <f>GETPIVOTDATA("Rating",$A$3)</f>
        <v>6.972699999999997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56943-31C2-4296-A780-3EF6A87ED380}">
  <dimension ref="A3:B12"/>
  <sheetViews>
    <sheetView workbookViewId="0">
      <selection activeCell="B12" sqref="B12"/>
    </sheetView>
  </sheetViews>
  <sheetFormatPr defaultRowHeight="14.4" x14ac:dyDescent="0.3"/>
  <cols>
    <col min="1" max="1" width="19.44140625" bestFit="1" customWidth="1"/>
    <col min="2" max="2" width="12.21875" bestFit="1" customWidth="1"/>
  </cols>
  <sheetData>
    <row r="3" spans="1:2" x14ac:dyDescent="0.3">
      <c r="A3" s="3" t="s">
        <v>1036</v>
      </c>
      <c r="B3" t="s">
        <v>1043</v>
      </c>
    </row>
    <row r="4" spans="1:2" x14ac:dyDescent="0.3">
      <c r="A4" s="4" t="s">
        <v>28</v>
      </c>
      <c r="B4" s="24">
        <v>1177.1999999999998</v>
      </c>
    </row>
    <row r="5" spans="1:2" x14ac:dyDescent="0.3">
      <c r="A5" s="4" t="s">
        <v>46</v>
      </c>
      <c r="B5" s="24">
        <v>1251.1999999999998</v>
      </c>
    </row>
    <row r="6" spans="1:2" x14ac:dyDescent="0.3">
      <c r="A6" s="4" t="s">
        <v>44</v>
      </c>
      <c r="B6" s="24">
        <v>1237.7</v>
      </c>
    </row>
    <row r="7" spans="1:2" x14ac:dyDescent="0.3">
      <c r="A7" s="4" t="s">
        <v>22</v>
      </c>
      <c r="B7" s="24">
        <v>1064.5000000000002</v>
      </c>
    </row>
    <row r="8" spans="1:2" x14ac:dyDescent="0.3">
      <c r="A8" s="4" t="s">
        <v>32</v>
      </c>
      <c r="B8" s="24">
        <v>1094</v>
      </c>
    </row>
    <row r="9" spans="1:2" x14ac:dyDescent="0.3">
      <c r="A9" s="4" t="s">
        <v>36</v>
      </c>
      <c r="B9" s="24">
        <v>1148.1000000000001</v>
      </c>
    </row>
    <row r="10" spans="1:2" x14ac:dyDescent="0.3">
      <c r="A10" s="4" t="s">
        <v>1037</v>
      </c>
      <c r="B10" s="24">
        <v>6972.7</v>
      </c>
    </row>
    <row r="12" spans="1:2" x14ac:dyDescent="0.3">
      <c r="B12">
        <f>GETPIVOTDATA("Rating",$A$3)</f>
        <v>6972.7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03D0C-FA4C-4EF3-975C-EEA5F7267ABF}">
  <dimension ref="A1:Q1001"/>
  <sheetViews>
    <sheetView topLeftCell="A2" workbookViewId="0">
      <selection activeCell="R6" sqref="R6"/>
    </sheetView>
  </sheetViews>
  <sheetFormatPr defaultRowHeight="14.4" x14ac:dyDescent="0.3"/>
  <cols>
    <col min="1" max="1" width="11.33203125" bestFit="1" customWidth="1"/>
    <col min="2" max="2" width="9" bestFit="1" customWidth="1"/>
    <col min="3" max="3" width="9.21875" bestFit="1" customWidth="1"/>
    <col min="4" max="4" width="15.44140625" bestFit="1" customWidth="1"/>
    <col min="5" max="5" width="9.33203125" bestFit="1" customWidth="1"/>
    <col min="6" max="6" width="19.44140625" bestFit="1" customWidth="1"/>
    <col min="7" max="7" width="11.33203125" bestFit="1" customWidth="1"/>
    <col min="8" max="8" width="10.33203125" bestFit="1" customWidth="1"/>
    <col min="10" max="10" width="9" bestFit="1" customWidth="1"/>
    <col min="11" max="11" width="9.33203125" bestFit="1" customWidth="1"/>
    <col min="12" max="12" width="11" bestFit="1" customWidth="1"/>
    <col min="13" max="13" width="10.5546875" bestFit="1" customWidth="1"/>
    <col min="14" max="14" width="7" bestFit="1" customWidth="1"/>
    <col min="15" max="15" width="23.6640625" bestFit="1" customWidth="1"/>
    <col min="16" max="16" width="14.109375" bestFit="1" customWidth="1"/>
    <col min="17" max="17" width="8.441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C0F61-50BD-40E5-96DA-37C47CBA3F27}">
  <dimension ref="A1"/>
  <sheetViews>
    <sheetView workbookViewId="0">
      <selection activeCell="B2" sqref="B2"/>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6270C0-CDF6-42D6-85FC-C73CB44ED2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Sheet3</vt:lpstr>
      <vt:lpstr>Sheet4</vt:lpstr>
      <vt:lpstr>Sheet10</vt:lpstr>
      <vt:lpstr>Sheet5</vt:lpstr>
      <vt:lpstr>Sheet7</vt:lpstr>
      <vt:lpstr>Sheet8</vt:lpstr>
      <vt:lpstr>Sheet9</vt:lpstr>
      <vt:lpstr>Sheet12</vt:lpstr>
      <vt:lpstr>Sheet15</vt:lpstr>
      <vt:lpstr>Sheet16</vt:lpstr>
      <vt:lpstr>Sheet17</vt:lpstr>
      <vt:lpstr>Copy of supermarket_sales - She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2026-06-23T12:11:22Z</dcterms:created>
  <dcterms:modified xsi:type="dcterms:W3CDTF">2026-07-01T13:49:13Z</dcterms:modified>
</cp:coreProperties>
</file>